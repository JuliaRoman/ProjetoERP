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E:\Gustavo\Escola\ADS_FATEC\2_sem\PI\Excel Arquivos\"/>
    </mc:Choice>
  </mc:AlternateContent>
  <xr:revisionPtr revIDLastSave="0" documentId="13_ncr:1_{57DE7E8F-9510-4795-B44F-E9C2E74ECF7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Orc" sheetId="3" r:id="rId1"/>
    <sheet name="Orç. (2)" sheetId="16" r:id="rId2"/>
  </sheets>
  <definedNames>
    <definedName name="_xlnm.Print_Area" localSheetId="0">Orc!$B$3:$L$63</definedName>
    <definedName name="_xlnm.Print_Area" localSheetId="1">'Orç. (2)'!$B$3:$L$63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9" i="16" l="1"/>
  <c r="I57" i="16"/>
  <c r="I58" i="16" s="1"/>
  <c r="C55" i="16"/>
  <c r="C54" i="16"/>
  <c r="C53" i="16"/>
  <c r="C52" i="16"/>
  <c r="C51" i="16"/>
  <c r="C50" i="16" s="1"/>
  <c r="J46" i="16"/>
  <c r="J45" i="16"/>
  <c r="J44" i="16"/>
  <c r="J41" i="16"/>
  <c r="J42" i="16" s="1"/>
  <c r="C35" i="16"/>
  <c r="C34" i="16"/>
  <c r="C33" i="16"/>
  <c r="C32" i="16"/>
  <c r="C24" i="16"/>
  <c r="C23" i="16"/>
  <c r="C22" i="16"/>
  <c r="C21" i="16"/>
  <c r="J17" i="16"/>
  <c r="C17" i="16"/>
  <c r="J16" i="16"/>
  <c r="C16" i="16"/>
  <c r="C15" i="16"/>
  <c r="J12" i="16"/>
  <c r="D9" i="16"/>
  <c r="C55" i="3" l="1"/>
  <c r="C54" i="3"/>
  <c r="C53" i="3"/>
  <c r="C52" i="3"/>
  <c r="C51" i="3"/>
  <c r="C50" i="3" s="1"/>
  <c r="C32" i="3" l="1"/>
  <c r="C35" i="3" l="1"/>
  <c r="C34" i="3"/>
  <c r="C33" i="3" l="1"/>
  <c r="I57" i="3"/>
  <c r="I58" i="3" s="1"/>
  <c r="I59" i="3"/>
  <c r="J44" i="3"/>
  <c r="J12" i="3"/>
</calcChain>
</file>

<file path=xl/sharedStrings.xml><?xml version="1.0" encoding="utf-8"?>
<sst xmlns="http://schemas.openxmlformats.org/spreadsheetml/2006/main" count="74" uniqueCount="43">
  <si>
    <t>Impostos</t>
  </si>
  <si>
    <t>Dados Técnicos:</t>
  </si>
  <si>
    <t>Processos:</t>
  </si>
  <si>
    <t>Condições Comerciais:</t>
  </si>
  <si>
    <t>Desde já colocamos ao vosso inteiro dispor para quaisquer esclarecimentos adicionais que se fizerem necessários</t>
  </si>
  <si>
    <t xml:space="preserve">    </t>
  </si>
  <si>
    <t>Escopo dos Serviços:</t>
  </si>
  <si>
    <t>À</t>
  </si>
  <si>
    <t>Simples nacional</t>
  </si>
  <si>
    <t>Conforme solicitação, estamos enviando nosso orçamento para serviços a serem executados de acordo com a descrição abaixo.</t>
  </si>
  <si>
    <t>Itupeva,</t>
  </si>
  <si>
    <t>Dpto Técnico Comercial</t>
  </si>
  <si>
    <t>Valor Unitário</t>
  </si>
  <si>
    <t>Valor total</t>
  </si>
  <si>
    <t>Validade da Proposta</t>
  </si>
  <si>
    <t>Transporte por conta</t>
  </si>
  <si>
    <t>Prazo de Entrega</t>
  </si>
  <si>
    <t>Condições de pagamento</t>
  </si>
  <si>
    <t>..........................................................................................................................:</t>
  </si>
  <si>
    <t>.................................................................................................:</t>
  </si>
  <si>
    <t>........................................................................................................:</t>
  </si>
  <si>
    <t>..............................................................................................................:</t>
  </si>
  <si>
    <t>.......................................................................................................:</t>
  </si>
  <si>
    <t>..................................................................................................................:</t>
  </si>
  <si>
    <t>Eng. Hélio Bento de Oliveira</t>
  </si>
  <si>
    <t>Cel.: 11 - 9.9613-2915</t>
  </si>
  <si>
    <t>30 dias.</t>
  </si>
  <si>
    <t>(nome do cliente)</t>
  </si>
  <si>
    <t>(Nome do Contato)</t>
  </si>
  <si>
    <t>("E-mail: " + email)</t>
  </si>
  <si>
    <t>("Quantidade.......................: " + qtdPeca)</t>
  </si>
  <si>
    <t>("Descrição..........................: " + descriçãoDaPeca)</t>
  </si>
  <si>
    <t>("Região a ser trabalhada....: " + diametroPeca + "x" + comprimentoPeca)</t>
  </si>
  <si>
    <t>("Camada a ser aplicada......: " + espessuraRevestimento + "de" + materialRevestimento)</t>
  </si>
  <si>
    <t>(valorUnitario)</t>
  </si>
  <si>
    <t>(valorTotal)</t>
  </si>
  <si>
    <t>(prazoDeEntrega)</t>
  </si>
  <si>
    <t>(transporte)</t>
  </si>
  <si>
    <t>Variável contato</t>
  </si>
  <si>
    <t>("Fone: " +  telefone)</t>
  </si>
  <si>
    <t>("Cel: " + celular)</t>
  </si>
  <si>
    <t>Proposta Técnica Comercial nº: 260.00  /20</t>
  </si>
  <si>
    <t>("Proposta Técnica Comercial nº: " + num + "/20")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</si>
</sst>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 &quot;* #,##0.00_);_(&quot;R$ &quot;* \(#,##0.00\);_(&quot;R$ &quot;* &quot;-&quot;??_);_(@_)"/>
    <numFmt numFmtId="165" formatCode="&quot;R$ &quot;#,##0.00"/>
    <numFmt numFmtId="166" formatCode="dd/mm/yy;@"/>
    <numFmt numFmtId="167" formatCode="[$-416]d\ \ mmmm\,\ yyyy;@"/>
    <numFmt numFmtId="168" formatCode="_-[$R$-416]\ * #,##0.00_-;\-[$R$-416]\ * #,##0.00_-;_-[$R$-416]\ * &quot;-&quot;??_-;_-@_-"/>
  </numFmts>
  <fonts count="12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u/>
      <sz val="10"/>
      <color indexed="12"/>
      <name val="Arial"/>
      <family val="2"/>
    </font>
    <font>
      <sz val="12"/>
      <name val="Times New Roman"/>
      <family val="1"/>
    </font>
    <font>
      <u/>
      <sz val="12"/>
      <color indexed="12"/>
      <name val="Times New Roman"/>
      <family val="1"/>
    </font>
    <font>
      <b/>
      <sz val="12"/>
      <name val="Times New Roman"/>
      <family val="1"/>
    </font>
    <font>
      <b/>
      <i/>
      <u/>
      <sz val="12"/>
      <name val="Times New Roman"/>
      <family val="1"/>
    </font>
    <font>
      <b/>
      <u/>
      <sz val="14"/>
      <name val="Times New Roman"/>
      <family val="1"/>
    </font>
    <font>
      <sz val="8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1" fillId="0" borderId="0"/>
  </cellStyleXfs>
  <cellXfs count="59">
    <xf numFmtId="0" fontId="0" fillId="0" borderId="0" xfId="0"/>
    <xf numFmtId="0" fontId="0" fillId="0" borderId="0" xfId="0" applyAlignment="1"/>
    <xf numFmtId="0" fontId="6" fillId="0" borderId="0" xfId="0" applyFont="1"/>
    <xf numFmtId="0" fontId="6" fillId="0" borderId="0" xfId="0" applyFont="1" applyBorder="1"/>
    <xf numFmtId="0" fontId="6" fillId="0" borderId="0" xfId="0" applyFont="1" applyAlignment="1"/>
    <xf numFmtId="0" fontId="6" fillId="0" borderId="0" xfId="0" applyFont="1" applyBorder="1" applyAlignment="1"/>
    <xf numFmtId="0" fontId="7" fillId="0" borderId="0" xfId="1" applyFont="1" applyBorder="1" applyAlignment="1" applyProtection="1">
      <alignment horizontal="left"/>
    </xf>
    <xf numFmtId="49" fontId="6" fillId="0" borderId="0" xfId="0" applyNumberFormat="1" applyFont="1"/>
    <xf numFmtId="0" fontId="10" fillId="0" borderId="0" xfId="0" applyFont="1" applyBorder="1" applyAlignment="1" applyProtection="1">
      <alignment horizontal="center" vertical="center"/>
    </xf>
    <xf numFmtId="0" fontId="6" fillId="0" borderId="0" xfId="0" applyFont="1" applyAlignment="1" applyProtection="1"/>
    <xf numFmtId="0" fontId="6" fillId="0" borderId="0" xfId="0" applyFont="1" applyBorder="1" applyAlignment="1" applyProtection="1"/>
    <xf numFmtId="0" fontId="6" fillId="0" borderId="0" xfId="0" applyFont="1" applyAlignment="1" applyProtection="1">
      <alignment horizontal="left"/>
    </xf>
    <xf numFmtId="0" fontId="6" fillId="0" borderId="0" xfId="0" applyFont="1" applyBorder="1" applyAlignment="1" applyProtection="1">
      <alignment horizontal="left"/>
    </xf>
    <xf numFmtId="0" fontId="6" fillId="0" borderId="0" xfId="0" applyFont="1" applyAlignment="1" applyProtection="1">
      <alignment horizontal="right"/>
    </xf>
    <xf numFmtId="167" fontId="6" fillId="0" borderId="0" xfId="0" applyNumberFormat="1" applyFont="1" applyAlignment="1" applyProtection="1">
      <alignment horizontal="left"/>
    </xf>
    <xf numFmtId="0" fontId="0" fillId="0" borderId="0" xfId="0" applyProtection="1"/>
    <xf numFmtId="0" fontId="6" fillId="0" borderId="0" xfId="0" applyFont="1" applyBorder="1" applyAlignment="1" applyProtection="1">
      <alignment horizontal="left" vertical="top"/>
    </xf>
    <xf numFmtId="0" fontId="6" fillId="0" borderId="0" xfId="0" applyNumberFormat="1" applyFont="1" applyBorder="1" applyAlignment="1" applyProtection="1">
      <alignment horizontal="left"/>
    </xf>
    <xf numFmtId="166" fontId="6" fillId="0" borderId="0" xfId="0" applyNumberFormat="1" applyFont="1" applyAlignment="1" applyProtection="1">
      <alignment horizontal="left"/>
    </xf>
    <xf numFmtId="0" fontId="4" fillId="0" borderId="0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right"/>
    </xf>
    <xf numFmtId="0" fontId="6" fillId="0" borderId="0" xfId="0" applyFont="1" applyAlignment="1" applyProtection="1">
      <alignment horizontal="right" vertical="center"/>
    </xf>
    <xf numFmtId="0" fontId="6" fillId="0" borderId="0" xfId="0" applyFont="1" applyBorder="1" applyAlignment="1" applyProtection="1">
      <alignment horizontal="right" vertical="center"/>
    </xf>
    <xf numFmtId="0" fontId="9" fillId="0" borderId="0" xfId="0" applyFont="1" applyBorder="1" applyAlignment="1" applyProtection="1">
      <alignment horizontal="left"/>
    </xf>
    <xf numFmtId="49" fontId="6" fillId="0" borderId="0" xfId="0" applyNumberFormat="1" applyFont="1" applyBorder="1" applyAlignment="1" applyProtection="1">
      <alignment horizontal="left"/>
    </xf>
    <xf numFmtId="0" fontId="6" fillId="0" borderId="0" xfId="0" applyNumberFormat="1" applyFont="1" applyAlignment="1" applyProtection="1">
      <alignment horizontal="left"/>
    </xf>
    <xf numFmtId="49" fontId="6" fillId="0" borderId="0" xfId="0" applyNumberFormat="1" applyFont="1" applyAlignment="1" applyProtection="1">
      <alignment horizontal="left"/>
    </xf>
    <xf numFmtId="164" fontId="6" fillId="0" borderId="0" xfId="0" applyNumberFormat="1" applyFont="1" applyAlignment="1" applyProtection="1">
      <alignment horizontal="left" vertical="center"/>
    </xf>
    <xf numFmtId="165" fontId="6" fillId="0" borderId="0" xfId="0" applyNumberFormat="1" applyFont="1" applyAlignment="1" applyProtection="1">
      <alignment horizontal="left"/>
    </xf>
    <xf numFmtId="165" fontId="6" fillId="0" borderId="0" xfId="0" applyNumberFormat="1" applyFont="1" applyBorder="1" applyAlignment="1" applyProtection="1">
      <alignment horizontal="left"/>
    </xf>
    <xf numFmtId="49" fontId="8" fillId="0" borderId="0" xfId="0" applyNumberFormat="1" applyFont="1" applyBorder="1" applyAlignment="1" applyProtection="1">
      <alignment horizontal="left"/>
    </xf>
    <xf numFmtId="49" fontId="6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top"/>
    </xf>
    <xf numFmtId="49" fontId="6" fillId="0" borderId="0" xfId="0" applyNumberFormat="1" applyFont="1" applyAlignment="1" applyProtection="1">
      <alignment horizontal="left" vertical="top"/>
    </xf>
    <xf numFmtId="49" fontId="6" fillId="0" borderId="0" xfId="0" applyNumberFormat="1" applyFont="1" applyBorder="1" applyAlignment="1" applyProtection="1">
      <alignment horizontal="left" vertical="top"/>
    </xf>
    <xf numFmtId="0" fontId="6" fillId="0" borderId="0" xfId="0" applyFont="1" applyAlignment="1" applyProtection="1">
      <alignment horizontal="left" vertical="top"/>
    </xf>
    <xf numFmtId="0" fontId="3" fillId="0" borderId="0" xfId="0" applyFont="1"/>
    <xf numFmtId="2" fontId="6" fillId="0" borderId="0" xfId="0" applyNumberFormat="1" applyFont="1" applyFill="1" applyBorder="1" applyAlignment="1" applyProtection="1">
      <alignment horizontal="left" vertical="center"/>
    </xf>
    <xf numFmtId="2" fontId="6" fillId="0" borderId="0" xfId="0" applyNumberFormat="1" applyFont="1" applyFill="1" applyBorder="1" applyAlignment="1" applyProtection="1">
      <alignment horizontal="left" vertical="top"/>
    </xf>
    <xf numFmtId="164" fontId="6" fillId="0" borderId="0" xfId="2" applyFont="1" applyBorder="1" applyAlignment="1" applyProtection="1">
      <alignment horizontal="left" vertical="center"/>
    </xf>
    <xf numFmtId="0" fontId="0" fillId="0" borderId="0" xfId="0" applyAlignment="1">
      <alignment wrapText="1"/>
    </xf>
    <xf numFmtId="168" fontId="6" fillId="0" borderId="0" xfId="2" applyNumberFormat="1" applyFont="1" applyBorder="1" applyAlignment="1" applyProtection="1">
      <alignment horizontal="left"/>
    </xf>
    <xf numFmtId="168" fontId="6" fillId="0" borderId="0" xfId="0" applyNumberFormat="1" applyFont="1" applyBorder="1" applyAlignment="1" applyProtection="1"/>
    <xf numFmtId="168" fontId="6" fillId="0" borderId="0" xfId="0" applyNumberFormat="1" applyFont="1" applyBorder="1" applyAlignment="1" applyProtection="1">
      <alignment wrapText="1"/>
    </xf>
    <xf numFmtId="0" fontId="6" fillId="0" borderId="0" xfId="0" applyNumberFormat="1" applyFont="1" applyBorder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left"/>
      <protection locked="0"/>
    </xf>
    <xf numFmtId="0" fontId="6" fillId="0" borderId="0" xfId="0" applyNumberFormat="1" applyFont="1" applyFill="1" applyBorder="1" applyAlignment="1" applyProtection="1">
      <alignment horizontal="left"/>
    </xf>
    <xf numFmtId="0" fontId="0" fillId="0" borderId="0" xfId="0" applyAlignment="1">
      <alignment wrapText="1"/>
    </xf>
    <xf numFmtId="167" fontId="6" fillId="0" borderId="0" xfId="0" applyNumberFormat="1" applyFont="1" applyAlignment="1" applyProtection="1">
      <alignment horizontal="left"/>
    </xf>
    <xf numFmtId="0" fontId="10" fillId="0" borderId="0" xfId="0" applyFont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167" fontId="6" fillId="0" borderId="0" xfId="0" applyNumberFormat="1" applyFont="1" applyAlignment="1" applyProtection="1">
      <alignment horizontal="left"/>
    </xf>
    <xf numFmtId="167" fontId="0" fillId="0" borderId="0" xfId="0" applyNumberFormat="1" applyProtection="1"/>
    <xf numFmtId="0" fontId="10" fillId="0" borderId="0" xfId="0" applyFont="1" applyBorder="1" applyAlignment="1" applyProtection="1">
      <alignment horizontal="center" vertical="center"/>
    </xf>
    <xf numFmtId="0" fontId="1" fillId="0" borderId="0" xfId="0" applyFont="1"/>
  </cellXfs>
  <cellStyles count="4">
    <cellStyle name="Hiperlink" xfId="1" builtinId="8"/>
    <cellStyle name="Moeda" xfId="2" builtinId="4"/>
    <cellStyle name="Normal" xfId="0" builtinId="0"/>
    <cellStyle name="Normal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47625</xdr:rowOff>
    </xdr:from>
    <xdr:to>
      <xdr:col>11</xdr:col>
      <xdr:colOff>304800</xdr:colOff>
      <xdr:row>62</xdr:row>
      <xdr:rowOff>152400</xdr:rowOff>
    </xdr:to>
    <xdr:sp macro="" textlink="">
      <xdr:nvSpPr>
        <xdr:cNvPr id="3704" name="AutoShape 2">
          <a:extLst>
            <a:ext uri="{FF2B5EF4-FFF2-40B4-BE49-F238E27FC236}">
              <a16:creationId xmlns:a16="http://schemas.microsoft.com/office/drawing/2014/main" id="{00000000-0008-0000-0000-0000780E0000}"/>
            </a:ext>
          </a:extLst>
        </xdr:cNvPr>
        <xdr:cNvSpPr>
          <a:spLocks noChangeArrowheads="1"/>
        </xdr:cNvSpPr>
      </xdr:nvSpPr>
      <xdr:spPr bwMode="auto">
        <a:xfrm>
          <a:off x="647700" y="809625"/>
          <a:ext cx="7534275" cy="11420475"/>
        </a:xfrm>
        <a:prstGeom prst="roundRect">
          <a:avLst>
            <a:gd name="adj" fmla="val 7287"/>
          </a:avLst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476250</xdr:colOff>
      <xdr:row>60</xdr:row>
      <xdr:rowOff>11637</xdr:rowOff>
    </xdr:from>
    <xdr:to>
      <xdr:col>10</xdr:col>
      <xdr:colOff>695325</xdr:colOff>
      <xdr:row>63</xdr:row>
      <xdr:rowOff>179911</xdr:rowOff>
    </xdr:to>
    <xdr:sp macro="" textlink="">
      <xdr:nvSpPr>
        <xdr:cNvPr id="3315" name="Rectangle 3">
          <a:extLst>
            <a:ext uri="{FF2B5EF4-FFF2-40B4-BE49-F238E27FC236}">
              <a16:creationId xmlns:a16="http://schemas.microsoft.com/office/drawing/2014/main" id="{00000000-0008-0000-0000-0000F30C0000}"/>
            </a:ext>
          </a:extLst>
        </xdr:cNvPr>
        <xdr:cNvSpPr>
          <a:spLocks noChangeArrowheads="1"/>
        </xdr:cNvSpPr>
      </xdr:nvSpPr>
      <xdr:spPr bwMode="auto">
        <a:xfrm>
          <a:off x="1090083" y="11251137"/>
          <a:ext cx="6537325" cy="77152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pt-BR" sz="1000" b="1" i="0" strike="noStrike">
              <a:solidFill>
                <a:srgbClr val="000000"/>
              </a:solidFill>
              <a:latin typeface="Times New Roman"/>
              <a:cs typeface="Times New Roman"/>
            </a:rPr>
            <a:t>APL METALIZAÇOES EIRELI - EPP</a:t>
          </a: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Av. Emílio Chechinato, 3955 – Bairro da Chave – CEP: 13295-000 – Itupeva – SP</a:t>
          </a: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PABX: (11) 4591-1530 – e-mail: </a:t>
          </a:r>
          <a:r>
            <a:rPr lang="pt-BR" sz="800" b="0" i="0" strike="noStrike">
              <a:solidFill>
                <a:srgbClr val="0000FF"/>
              </a:solidFill>
              <a:latin typeface="Times New Roman"/>
              <a:cs typeface="Times New Roman"/>
            </a:rPr>
            <a:t>apl@aplmetalizacoes.com.br</a:t>
          </a: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CNPJ: 26.668.132/0001-80</a:t>
          </a:r>
          <a:r>
            <a:rPr lang="pt-BR" sz="8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 - </a:t>
          </a: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 Insc. Estad.: 388..068.258.118</a:t>
          </a:r>
        </a:p>
        <a:p>
          <a:pPr algn="ctr" rtl="1">
            <a:defRPr sz="1000"/>
          </a:pP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684739</xdr:colOff>
      <xdr:row>2</xdr:row>
      <xdr:rowOff>161925</xdr:rowOff>
    </xdr:from>
    <xdr:to>
      <xdr:col>8</xdr:col>
      <xdr:colOff>360889</xdr:colOff>
      <xdr:row>5</xdr:row>
      <xdr:rowOff>161925</xdr:rowOff>
    </xdr:to>
    <xdr:pic>
      <xdr:nvPicPr>
        <xdr:cNvPr id="3706" name="Picture 1">
          <a:extLst>
            <a:ext uri="{FF2B5EF4-FFF2-40B4-BE49-F238E27FC236}">
              <a16:creationId xmlns:a16="http://schemas.microsoft.com/office/drawing/2014/main" id="{00000000-0008-0000-0000-00007A0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8906" y="521758"/>
          <a:ext cx="2861733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26</xdr:row>
          <xdr:rowOff>76200</xdr:rowOff>
        </xdr:from>
        <xdr:to>
          <xdr:col>4</xdr:col>
          <xdr:colOff>114300</xdr:colOff>
          <xdr:row>27</xdr:row>
          <xdr:rowOff>160020</xdr:rowOff>
        </xdr:to>
        <xdr:sp macro="" textlink="">
          <xdr:nvSpPr>
            <xdr:cNvPr id="3097" name="CheckBoxHipersonico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0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Hipersônico  HVOF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198120</xdr:colOff>
          <xdr:row>27</xdr:row>
          <xdr:rowOff>121920</xdr:rowOff>
        </xdr:from>
        <xdr:to>
          <xdr:col>4</xdr:col>
          <xdr:colOff>365760</xdr:colOff>
          <xdr:row>28</xdr:row>
          <xdr:rowOff>114300</xdr:rowOff>
        </xdr:to>
        <xdr:sp macro="" textlink="">
          <xdr:nvSpPr>
            <xdr:cNvPr id="3098" name="CheckBoxFlameSpray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Flame Spray (arame)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28</xdr:row>
          <xdr:rowOff>121920</xdr:rowOff>
        </xdr:from>
        <xdr:to>
          <xdr:col>4</xdr:col>
          <xdr:colOff>487680</xdr:colOff>
          <xdr:row>29</xdr:row>
          <xdr:rowOff>121920</xdr:rowOff>
        </xdr:to>
        <xdr:sp macro="" textlink="">
          <xdr:nvSpPr>
            <xdr:cNvPr id="3099" name="CheckBoxThermoSpray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0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Thermo Spray (pó)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106680</xdr:rowOff>
        </xdr:from>
        <xdr:to>
          <xdr:col>7</xdr:col>
          <xdr:colOff>182880</xdr:colOff>
          <xdr:row>27</xdr:row>
          <xdr:rowOff>99060</xdr:rowOff>
        </xdr:to>
        <xdr:sp macro="" textlink="">
          <xdr:nvSpPr>
            <xdr:cNvPr id="3100" name="CheckBoxArcSpray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0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Arc Spray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114300</xdr:rowOff>
        </xdr:from>
        <xdr:to>
          <xdr:col>7</xdr:col>
          <xdr:colOff>502920</xdr:colOff>
          <xdr:row>28</xdr:row>
          <xdr:rowOff>106680</xdr:rowOff>
        </xdr:to>
        <xdr:sp macro="" textlink="">
          <xdr:nvSpPr>
            <xdr:cNvPr id="3101" name="CheckBoxPlasmaSpray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0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Plasma Spray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137160</xdr:rowOff>
        </xdr:from>
        <xdr:to>
          <xdr:col>7</xdr:col>
          <xdr:colOff>144780</xdr:colOff>
          <xdr:row>29</xdr:row>
          <xdr:rowOff>137160</xdr:rowOff>
        </xdr:to>
        <xdr:sp macro="" textlink="">
          <xdr:nvSpPr>
            <xdr:cNvPr id="3102" name="CheckBoxGalvanoplastia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Galvanoplastia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28</xdr:row>
          <xdr:rowOff>137160</xdr:rowOff>
        </xdr:from>
        <xdr:to>
          <xdr:col>10</xdr:col>
          <xdr:colOff>335280</xdr:colOff>
          <xdr:row>29</xdr:row>
          <xdr:rowOff>137160</xdr:rowOff>
        </xdr:to>
        <xdr:sp macro="" textlink="">
          <xdr:nvSpPr>
            <xdr:cNvPr id="3103" name="CheckBoxOutros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Outros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27</xdr:row>
          <xdr:rowOff>121920</xdr:rowOff>
        </xdr:from>
        <xdr:to>
          <xdr:col>10</xdr:col>
          <xdr:colOff>30480</xdr:colOff>
          <xdr:row>28</xdr:row>
          <xdr:rowOff>114300</xdr:rowOff>
        </xdr:to>
        <xdr:sp macro="" textlink="">
          <xdr:nvSpPr>
            <xdr:cNvPr id="3104" name="CheckBoxSoldaTig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Solda Tig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26</xdr:row>
          <xdr:rowOff>114300</xdr:rowOff>
        </xdr:from>
        <xdr:to>
          <xdr:col>9</xdr:col>
          <xdr:colOff>922020</xdr:colOff>
          <xdr:row>27</xdr:row>
          <xdr:rowOff>106680</xdr:rowOff>
        </xdr:to>
        <xdr:sp macro="" textlink="">
          <xdr:nvSpPr>
            <xdr:cNvPr id="3105" name="CheckboxSoldaMig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Solda Mig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47625</xdr:rowOff>
    </xdr:from>
    <xdr:to>
      <xdr:col>11</xdr:col>
      <xdr:colOff>304800</xdr:colOff>
      <xdr:row>62</xdr:row>
      <xdr:rowOff>152400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647700" y="809625"/>
          <a:ext cx="7901940" cy="11313795"/>
        </a:xfrm>
        <a:prstGeom prst="roundRect">
          <a:avLst>
            <a:gd name="adj" fmla="val 7287"/>
          </a:avLst>
        </a:prstGeom>
        <a:noFill/>
        <a:ln w="285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476250</xdr:colOff>
      <xdr:row>60</xdr:row>
      <xdr:rowOff>11637</xdr:rowOff>
    </xdr:from>
    <xdr:to>
      <xdr:col>10</xdr:col>
      <xdr:colOff>695325</xdr:colOff>
      <xdr:row>63</xdr:row>
      <xdr:rowOff>179911</xdr:rowOff>
    </xdr:to>
    <xdr:sp macro="" textlink="">
      <xdr:nvSpPr>
        <xdr:cNvPr id="3" name="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1085850" y="11586417"/>
          <a:ext cx="7023735" cy="76263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1">
            <a:defRPr sz="1000"/>
          </a:pPr>
          <a:r>
            <a:rPr lang="pt-BR" sz="1000" b="1" i="0" strike="noStrike">
              <a:solidFill>
                <a:srgbClr val="000000"/>
              </a:solidFill>
              <a:latin typeface="Times New Roman"/>
              <a:cs typeface="Times New Roman"/>
            </a:rPr>
            <a:t>APL METALIZAÇOES EIRELI - EPP</a:t>
          </a: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Av. Emílio Chechinato, 3955 – Bairro da Chave – CEP: 13295-000 – Itupeva – SP</a:t>
          </a: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PABX: (11) 4591-1530 – e-mail: </a:t>
          </a:r>
          <a:r>
            <a:rPr lang="pt-BR" sz="800" b="0" i="0" strike="noStrike">
              <a:solidFill>
                <a:srgbClr val="0000FF"/>
              </a:solidFill>
              <a:latin typeface="Times New Roman"/>
              <a:cs typeface="Times New Roman"/>
            </a:rPr>
            <a:t>apl@aplmetalizacoes.com.br</a:t>
          </a: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CNPJ: 26.668.132/0001-80</a:t>
          </a:r>
          <a:r>
            <a:rPr lang="pt-BR" sz="800" b="0" i="0" strike="noStrike" baseline="0">
              <a:solidFill>
                <a:srgbClr val="000000"/>
              </a:solidFill>
              <a:latin typeface="Times New Roman"/>
              <a:cs typeface="Times New Roman"/>
            </a:rPr>
            <a:t>  - </a:t>
          </a:r>
          <a:r>
            <a:rPr lang="pt-BR" sz="800" b="0" i="0" strike="noStrike">
              <a:solidFill>
                <a:srgbClr val="000000"/>
              </a:solidFill>
              <a:latin typeface="Times New Roman"/>
              <a:cs typeface="Times New Roman"/>
            </a:rPr>
            <a:t> Insc. Estad.: 388..068.258.118</a:t>
          </a:r>
        </a:p>
        <a:p>
          <a:pPr algn="ctr" rtl="1">
            <a:defRPr sz="1000"/>
          </a:pP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  <a:p>
          <a:pPr algn="ctr" rtl="1">
            <a:defRPr sz="1000"/>
          </a:pPr>
          <a:endParaRPr lang="pt-BR" sz="800" b="0" i="0" strike="noStrike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4</xdr:col>
      <xdr:colOff>684739</xdr:colOff>
      <xdr:row>2</xdr:row>
      <xdr:rowOff>161925</xdr:rowOff>
    </xdr:from>
    <xdr:to>
      <xdr:col>8</xdr:col>
      <xdr:colOff>360889</xdr:colOff>
      <xdr:row>5</xdr:row>
      <xdr:rowOff>161925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8379" y="527685"/>
          <a:ext cx="2922270" cy="5943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26</xdr:row>
          <xdr:rowOff>76200</xdr:rowOff>
        </xdr:from>
        <xdr:to>
          <xdr:col>4</xdr:col>
          <xdr:colOff>114300</xdr:colOff>
          <xdr:row>27</xdr:row>
          <xdr:rowOff>160020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Hipersônico  HVOF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198120</xdr:colOff>
          <xdr:row>27</xdr:row>
          <xdr:rowOff>121920</xdr:rowOff>
        </xdr:from>
        <xdr:to>
          <xdr:col>4</xdr:col>
          <xdr:colOff>365760</xdr:colOff>
          <xdr:row>28</xdr:row>
          <xdr:rowOff>114300</xdr:rowOff>
        </xdr:to>
        <xdr:sp macro="" textlink="">
          <xdr:nvSpPr>
            <xdr:cNvPr id="20482" name="Check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Flame Spray (arame)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198120</xdr:colOff>
          <xdr:row>28</xdr:row>
          <xdr:rowOff>121920</xdr:rowOff>
        </xdr:from>
        <xdr:to>
          <xdr:col>4</xdr:col>
          <xdr:colOff>487680</xdr:colOff>
          <xdr:row>29</xdr:row>
          <xdr:rowOff>121920</xdr:rowOff>
        </xdr:to>
        <xdr:sp macro="" textlink="">
          <xdr:nvSpPr>
            <xdr:cNvPr id="20483" name="Check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1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Thermo Spray (pó)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106680</xdr:rowOff>
        </xdr:from>
        <xdr:to>
          <xdr:col>7</xdr:col>
          <xdr:colOff>182880</xdr:colOff>
          <xdr:row>27</xdr:row>
          <xdr:rowOff>99060</xdr:rowOff>
        </xdr:to>
        <xdr:sp macro="" textlink="">
          <xdr:nvSpPr>
            <xdr:cNvPr id="20484" name="Check Box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1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Arc Spray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114300</xdr:rowOff>
        </xdr:from>
        <xdr:to>
          <xdr:col>7</xdr:col>
          <xdr:colOff>502920</xdr:colOff>
          <xdr:row>28</xdr:row>
          <xdr:rowOff>106680</xdr:rowOff>
        </xdr:to>
        <xdr:sp macro="" textlink="">
          <xdr:nvSpPr>
            <xdr:cNvPr id="20485" name="Check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1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Plasma Spray     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137160</xdr:rowOff>
        </xdr:from>
        <xdr:to>
          <xdr:col>7</xdr:col>
          <xdr:colOff>144780</xdr:colOff>
          <xdr:row>29</xdr:row>
          <xdr:rowOff>137160</xdr:rowOff>
        </xdr:to>
        <xdr:sp macro="" textlink="">
          <xdr:nvSpPr>
            <xdr:cNvPr id="20486" name="Check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1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Galvanoplastia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28</xdr:row>
          <xdr:rowOff>137160</xdr:rowOff>
        </xdr:from>
        <xdr:to>
          <xdr:col>10</xdr:col>
          <xdr:colOff>335280</xdr:colOff>
          <xdr:row>29</xdr:row>
          <xdr:rowOff>137160</xdr:rowOff>
        </xdr:to>
        <xdr:sp macro="" textlink="">
          <xdr:nvSpPr>
            <xdr:cNvPr id="20487" name="Check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1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Outros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27</xdr:row>
          <xdr:rowOff>121920</xdr:rowOff>
        </xdr:from>
        <xdr:to>
          <xdr:col>10</xdr:col>
          <xdr:colOff>30480</xdr:colOff>
          <xdr:row>28</xdr:row>
          <xdr:rowOff>114300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1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Solda Tig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26</xdr:row>
          <xdr:rowOff>114300</xdr:rowOff>
        </xdr:from>
        <xdr:to>
          <xdr:col>9</xdr:col>
          <xdr:colOff>922020</xdr:colOff>
          <xdr:row>27</xdr:row>
          <xdr:rowOff>106680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1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Solda Mig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>
    <pageSetUpPr fitToPage="1"/>
  </sheetPr>
  <dimension ref="A2:R64"/>
  <sheetViews>
    <sheetView tabSelected="1" topLeftCell="A13" zoomScale="90" zoomScaleNormal="100" workbookViewId="0">
      <selection activeCell="K22" sqref="K22:K26"/>
    </sheetView>
  </sheetViews>
  <sheetFormatPr defaultRowHeight="13.2" x14ac:dyDescent="0.25"/>
  <cols>
    <col min="2" max="2" width="7.5546875" customWidth="1"/>
    <col min="3" max="3" width="10.44140625" bestFit="1" customWidth="1"/>
    <col min="5" max="5" width="13.5546875" customWidth="1"/>
    <col min="6" max="6" width="9.88671875" bestFit="1" customWidth="1"/>
    <col min="7" max="7" width="15" bestFit="1" customWidth="1"/>
    <col min="9" max="9" width="10.44140625" bestFit="1" customWidth="1"/>
    <col min="10" max="10" width="14.5546875" customWidth="1"/>
    <col min="11" max="11" width="12.109375" customWidth="1"/>
    <col min="12" max="12" width="4.6640625" customWidth="1"/>
  </cols>
  <sheetData>
    <row r="2" spans="1:15" ht="15.6" x14ac:dyDescent="0.3">
      <c r="A2" s="2"/>
      <c r="B2" s="2"/>
      <c r="C2" s="3"/>
      <c r="D2" s="3"/>
      <c r="E2" s="3"/>
      <c r="F2" s="3"/>
      <c r="G2" s="3"/>
      <c r="H2" s="3"/>
      <c r="I2" s="3"/>
      <c r="J2" s="3"/>
      <c r="K2" s="2"/>
      <c r="L2" s="2"/>
    </row>
    <row r="3" spans="1:15" ht="15.6" x14ac:dyDescent="0.3">
      <c r="A3" s="2"/>
      <c r="B3" s="4"/>
      <c r="C3" s="5"/>
      <c r="D3" s="5"/>
      <c r="E3" s="5"/>
      <c r="F3" s="5"/>
      <c r="G3" s="5"/>
      <c r="H3" s="5"/>
      <c r="I3" s="5"/>
      <c r="J3" s="5"/>
      <c r="K3" s="4"/>
      <c r="L3" s="4"/>
    </row>
    <row r="4" spans="1:15" ht="15.6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9"/>
      <c r="L4" s="9"/>
    </row>
    <row r="5" spans="1:15" ht="15.6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9"/>
      <c r="L5" s="9"/>
    </row>
    <row r="6" spans="1:15" ht="15.6" x14ac:dyDescent="0.3">
      <c r="A6" s="2"/>
      <c r="B6" s="11"/>
      <c r="C6" s="12"/>
      <c r="D6" s="12"/>
      <c r="E6" s="12"/>
      <c r="F6" s="12"/>
      <c r="G6" s="12"/>
      <c r="H6" s="12"/>
      <c r="I6" s="12"/>
      <c r="J6" s="12"/>
      <c r="K6" s="11"/>
      <c r="L6" s="11"/>
    </row>
    <row r="7" spans="1:15" ht="15.6" x14ac:dyDescent="0.3">
      <c r="A7" s="2"/>
      <c r="B7" s="11"/>
      <c r="C7" s="12"/>
      <c r="D7" s="12"/>
      <c r="E7" s="12"/>
      <c r="F7" s="12"/>
      <c r="G7" s="12"/>
      <c r="H7" s="12"/>
      <c r="I7" s="12"/>
      <c r="J7" s="12"/>
      <c r="K7" s="11"/>
      <c r="L7" s="11"/>
    </row>
    <row r="8" spans="1:15" ht="9.75" customHeight="1" x14ac:dyDescent="0.3">
      <c r="A8" s="2"/>
      <c r="B8" s="11"/>
      <c r="C8" s="12"/>
      <c r="D8" s="11"/>
      <c r="E8" s="11"/>
      <c r="F8" s="11"/>
      <c r="G8" s="11"/>
      <c r="H8" s="11"/>
      <c r="I8" s="11"/>
      <c r="J8" s="11"/>
      <c r="K8" s="11"/>
      <c r="L8" s="11"/>
    </row>
    <row r="9" spans="1:15" ht="17.399999999999999" x14ac:dyDescent="0.3">
      <c r="A9" s="2"/>
      <c r="B9" s="8"/>
      <c r="C9" s="8"/>
      <c r="D9" s="57" t="s">
        <v>42</v>
      </c>
      <c r="E9" s="57"/>
      <c r="F9" s="57"/>
      <c r="G9" s="57"/>
      <c r="H9" s="57"/>
      <c r="I9" s="57"/>
      <c r="J9" s="57"/>
      <c r="K9" s="8"/>
      <c r="L9" s="8"/>
      <c r="N9" s="58" t="s">
        <v>41</v>
      </c>
    </row>
    <row r="10" spans="1:15" ht="15.6" x14ac:dyDescent="0.3">
      <c r="A10" s="2"/>
      <c r="B10" s="11"/>
      <c r="C10" s="12"/>
      <c r="D10" s="11"/>
      <c r="E10" s="11"/>
      <c r="F10" s="11"/>
      <c r="G10" s="11"/>
      <c r="H10" s="11"/>
      <c r="I10" s="11"/>
      <c r="J10" s="11"/>
      <c r="K10" s="11"/>
      <c r="L10" s="11"/>
    </row>
    <row r="11" spans="1:15" ht="15.6" x14ac:dyDescent="0.3">
      <c r="A11" s="2"/>
      <c r="B11" s="11"/>
      <c r="C11" s="12"/>
      <c r="D11" s="11"/>
      <c r="E11" s="11"/>
      <c r="F11" s="11"/>
      <c r="G11" s="11"/>
      <c r="H11" s="11"/>
      <c r="I11" s="11"/>
      <c r="J11" s="11"/>
      <c r="K11" s="11"/>
      <c r="L11" s="11"/>
    </row>
    <row r="12" spans="1:15" ht="15.6" x14ac:dyDescent="0.3">
      <c r="A12" s="2"/>
      <c r="B12" s="11"/>
      <c r="C12" s="12"/>
      <c r="D12" s="11"/>
      <c r="E12" s="11"/>
      <c r="F12" s="11"/>
      <c r="G12" s="11"/>
      <c r="H12" s="11"/>
      <c r="I12" s="13" t="s">
        <v>10</v>
      </c>
      <c r="J12" s="55">
        <f ca="1">TODAY()</f>
        <v>44161</v>
      </c>
      <c r="K12" s="56"/>
      <c r="L12" s="56"/>
    </row>
    <row r="13" spans="1:15" ht="15.6" x14ac:dyDescent="0.3">
      <c r="A13" s="2"/>
      <c r="B13" s="11"/>
      <c r="C13" s="12"/>
      <c r="D13" s="11"/>
      <c r="E13" s="11"/>
      <c r="F13" s="11"/>
      <c r="G13" s="11"/>
      <c r="H13" s="11"/>
      <c r="I13" s="13"/>
      <c r="J13" s="14"/>
      <c r="K13" s="15"/>
      <c r="L13" s="15"/>
    </row>
    <row r="14" spans="1:15" ht="15.6" x14ac:dyDescent="0.3">
      <c r="A14" s="2"/>
      <c r="B14" s="11"/>
      <c r="C14" s="16" t="s">
        <v>7</v>
      </c>
      <c r="D14" s="11"/>
      <c r="E14" s="11"/>
      <c r="F14" s="11"/>
      <c r="G14" s="11"/>
      <c r="H14" s="11"/>
      <c r="I14" s="11"/>
      <c r="J14" s="11"/>
      <c r="K14" s="11"/>
      <c r="L14" s="11"/>
    </row>
    <row r="15" spans="1:15" ht="15.6" x14ac:dyDescent="0.3">
      <c r="A15" s="2"/>
      <c r="B15" s="12"/>
      <c r="C15" s="12" t="s">
        <v>27</v>
      </c>
      <c r="D15" s="17"/>
      <c r="E15" s="17"/>
      <c r="F15" s="17"/>
      <c r="G15" s="17"/>
      <c r="H15" s="17"/>
      <c r="I15" s="17"/>
      <c r="J15" s="17"/>
      <c r="K15" s="17"/>
      <c r="L15" s="11"/>
    </row>
    <row r="16" spans="1:15" ht="15.6" x14ac:dyDescent="0.3">
      <c r="A16" s="2"/>
      <c r="B16" s="12"/>
      <c r="C16" s="12" t="s">
        <v>28</v>
      </c>
      <c r="D16" s="12"/>
      <c r="E16" s="12"/>
      <c r="F16" s="12"/>
      <c r="G16" s="12"/>
      <c r="H16" s="12"/>
      <c r="I16" s="11"/>
      <c r="J16" s="12" t="s">
        <v>40</v>
      </c>
      <c r="K16" s="18"/>
      <c r="L16" s="11"/>
      <c r="O16" t="s">
        <v>38</v>
      </c>
    </row>
    <row r="17" spans="1:18" ht="15.6" x14ac:dyDescent="0.3">
      <c r="A17" s="2"/>
      <c r="B17" s="11"/>
      <c r="C17" s="12" t="s">
        <v>29</v>
      </c>
      <c r="D17" s="6"/>
      <c r="E17" s="11"/>
      <c r="F17" s="11"/>
      <c r="G17" s="11"/>
      <c r="H17" s="11"/>
      <c r="I17" s="12"/>
      <c r="J17" s="12" t="s">
        <v>39</v>
      </c>
      <c r="K17" s="11"/>
      <c r="L17" s="11"/>
    </row>
    <row r="18" spans="1:18" ht="15.6" x14ac:dyDescent="0.3">
      <c r="A18" s="2"/>
      <c r="B18" s="11"/>
      <c r="C18" s="54" t="s">
        <v>9</v>
      </c>
      <c r="D18" s="11"/>
      <c r="E18" s="11"/>
      <c r="F18" s="11"/>
      <c r="G18" s="11"/>
      <c r="H18" s="11"/>
      <c r="I18" s="11"/>
      <c r="J18" s="11"/>
      <c r="K18" s="11"/>
      <c r="L18" s="11"/>
    </row>
    <row r="19" spans="1:18" ht="15.6" x14ac:dyDescent="0.3">
      <c r="A19" s="2"/>
      <c r="B19" s="11"/>
      <c r="C19" s="12"/>
      <c r="D19" s="12"/>
      <c r="E19" s="12"/>
      <c r="F19" s="12"/>
      <c r="G19" s="12"/>
      <c r="H19" s="12"/>
      <c r="I19" s="12"/>
      <c r="J19" s="12"/>
      <c r="K19" s="11"/>
      <c r="L19" s="11"/>
    </row>
    <row r="20" spans="1:18" ht="16.2" x14ac:dyDescent="0.35">
      <c r="A20" s="2"/>
      <c r="B20" s="11"/>
      <c r="C20" s="20" t="s">
        <v>1</v>
      </c>
      <c r="D20" s="21"/>
      <c r="E20" s="21"/>
      <c r="F20" s="21"/>
      <c r="G20" s="21"/>
      <c r="H20" s="21"/>
      <c r="I20" s="21"/>
      <c r="J20" s="21"/>
      <c r="K20" s="11"/>
      <c r="L20" s="11"/>
    </row>
    <row r="21" spans="1:18" ht="15.75" customHeight="1" x14ac:dyDescent="0.3">
      <c r="A21" s="2"/>
      <c r="B21" s="22"/>
      <c r="C21" s="23" t="s">
        <v>31</v>
      </c>
      <c r="D21" s="22"/>
      <c r="E21" s="22"/>
      <c r="F21" s="24"/>
      <c r="G21" s="12"/>
      <c r="H21" s="11"/>
      <c r="I21" s="11"/>
      <c r="J21" s="11"/>
      <c r="K21" s="11"/>
      <c r="L21" s="11"/>
    </row>
    <row r="22" spans="1:18" ht="15.75" customHeight="1" x14ac:dyDescent="0.3">
      <c r="A22" s="2"/>
      <c r="B22" s="22"/>
      <c r="C22" s="48" t="s">
        <v>30</v>
      </c>
      <c r="D22" s="22"/>
      <c r="E22" s="25"/>
      <c r="F22" s="26"/>
      <c r="G22" s="12"/>
      <c r="H22" s="11"/>
      <c r="I22" s="11"/>
      <c r="J22" s="11"/>
      <c r="K22" s="11"/>
      <c r="L22" s="11"/>
    </row>
    <row r="23" spans="1:18" ht="15.75" customHeight="1" x14ac:dyDescent="0.3">
      <c r="A23" s="2"/>
      <c r="B23" s="22"/>
      <c r="C23" s="23" t="s">
        <v>32</v>
      </c>
      <c r="D23" s="22"/>
      <c r="E23" s="22"/>
      <c r="F23" s="24"/>
      <c r="G23" s="12"/>
      <c r="H23" s="11"/>
      <c r="I23" s="11"/>
      <c r="J23" s="11"/>
      <c r="K23" s="11"/>
      <c r="L23" s="11"/>
    </row>
    <row r="24" spans="1:18" ht="15.6" x14ac:dyDescent="0.3">
      <c r="A24" s="2"/>
      <c r="B24" s="22"/>
      <c r="C24" s="23" t="s">
        <v>33</v>
      </c>
      <c r="D24" s="22"/>
      <c r="E24" s="22"/>
      <c r="F24" s="24"/>
      <c r="G24" s="12"/>
      <c r="H24" s="11"/>
      <c r="I24" s="11"/>
      <c r="J24" s="11"/>
      <c r="K24" s="11"/>
      <c r="L24" s="11"/>
    </row>
    <row r="25" spans="1:18" ht="15.6" x14ac:dyDescent="0.3">
      <c r="A25" s="2"/>
      <c r="B25" s="11"/>
      <c r="C25" s="12"/>
      <c r="D25" s="12"/>
      <c r="E25" s="12"/>
      <c r="F25" s="12"/>
      <c r="G25" s="12"/>
      <c r="H25" s="12"/>
      <c r="I25" s="12"/>
      <c r="J25" s="12"/>
      <c r="K25" s="11"/>
      <c r="L25" s="11"/>
      <c r="O25" s="23"/>
    </row>
    <row r="26" spans="1:18" ht="16.2" x14ac:dyDescent="0.35">
      <c r="A26" s="2"/>
      <c r="B26" s="11"/>
      <c r="C26" s="27" t="s">
        <v>2</v>
      </c>
      <c r="D26" s="21"/>
      <c r="E26" s="21"/>
      <c r="F26" s="21"/>
      <c r="G26" s="21"/>
      <c r="H26" s="21"/>
      <c r="I26" s="21"/>
      <c r="J26" s="21"/>
      <c r="K26" s="11"/>
      <c r="L26" s="11"/>
    </row>
    <row r="27" spans="1:18" ht="15.75" customHeight="1" x14ac:dyDescent="0.3">
      <c r="A27" s="2"/>
      <c r="B27" s="11"/>
      <c r="C27" s="28"/>
      <c r="D27" s="12"/>
      <c r="E27" s="11"/>
      <c r="F27" s="12"/>
      <c r="G27" s="12"/>
      <c r="H27" s="11"/>
      <c r="I27" s="11" t="s">
        <v>5</v>
      </c>
      <c r="J27" s="11"/>
      <c r="K27" s="11"/>
      <c r="L27" s="11"/>
    </row>
    <row r="28" spans="1:18" ht="15.75" customHeight="1" x14ac:dyDescent="0.3">
      <c r="A28" s="2"/>
      <c r="B28" s="11"/>
      <c r="C28" s="12"/>
      <c r="D28" s="12"/>
      <c r="E28" s="11"/>
      <c r="F28" s="12"/>
      <c r="G28" s="12"/>
      <c r="H28" s="11"/>
      <c r="I28" s="11"/>
      <c r="J28" s="11"/>
      <c r="K28" s="11"/>
      <c r="L28" s="11"/>
    </row>
    <row r="29" spans="1:18" ht="15.75" customHeight="1" x14ac:dyDescent="0.3">
      <c r="A29" s="2"/>
      <c r="B29" s="11"/>
      <c r="C29" s="12"/>
      <c r="D29" s="12"/>
      <c r="E29" s="11"/>
      <c r="F29" s="12"/>
      <c r="G29" s="12"/>
      <c r="H29" s="11"/>
      <c r="I29" s="11" t="s">
        <v>5</v>
      </c>
      <c r="J29" s="11"/>
      <c r="K29" s="11"/>
      <c r="L29" s="11"/>
    </row>
    <row r="30" spans="1:18" ht="15.6" x14ac:dyDescent="0.3">
      <c r="A30" s="2"/>
      <c r="B30" s="11"/>
      <c r="C30" s="12"/>
      <c r="D30" s="12"/>
      <c r="E30" s="12"/>
      <c r="F30" s="12"/>
      <c r="G30" s="12"/>
      <c r="H30" s="12"/>
      <c r="I30" s="12"/>
      <c r="J30" s="12"/>
      <c r="K30" s="11"/>
      <c r="L30" s="11"/>
      <c r="R30" s="40"/>
    </row>
    <row r="31" spans="1:18" ht="16.2" x14ac:dyDescent="0.35">
      <c r="A31" s="2"/>
      <c r="B31" s="11"/>
      <c r="C31" s="20" t="s">
        <v>6</v>
      </c>
      <c r="D31" s="21"/>
      <c r="E31" s="21"/>
      <c r="F31" s="21"/>
      <c r="G31" s="21"/>
      <c r="H31" s="21"/>
      <c r="I31" s="21"/>
      <c r="J31" s="21"/>
      <c r="K31" s="11"/>
      <c r="L31" s="11"/>
    </row>
    <row r="32" spans="1:18" ht="15.6" x14ac:dyDescent="0.3">
      <c r="A32" s="7"/>
      <c r="B32" s="29"/>
      <c r="C32" s="41" t="e">
        <f>CONCATENATE(" 1. Revestimento pelo processo de",IF(#REF!="x"," Aspersão Térmica  Arco Elétrico",IF(#REF!="x"," Aspersão Térmica  Hipersônico HVOF",IF(#REF!&lt;&gt;""," Galvanoplastia",IF(#REF!="x","  Aspersão Térmica Plasma Spray",IF(#REF!&lt;&gt;"",""""))))))</f>
        <v>#REF!</v>
      </c>
      <c r="D32" s="36"/>
      <c r="E32" s="36"/>
      <c r="F32" s="37"/>
      <c r="G32" s="37"/>
      <c r="H32" s="36"/>
      <c r="I32" s="36"/>
      <c r="J32" s="36"/>
      <c r="K32" s="36"/>
      <c r="L32" s="11"/>
    </row>
    <row r="33" spans="1:12" ht="12.75" customHeight="1" x14ac:dyDescent="0.3">
      <c r="A33" s="7"/>
      <c r="B33" s="29"/>
      <c r="C33" s="41" t="e">
        <f>IF(#REF!=1,"    1.1 - Usinagem de preparação", IF(#REF!=2,"    1.1 - Retifica de preparação ",IF(#REF!&lt;&gt;"",CONCATENATE("   1.1 - Metalizar com camada de ",#REF!,""))))</f>
        <v>#REF!</v>
      </c>
      <c r="D33" s="36"/>
      <c r="E33" s="36"/>
      <c r="F33" s="37"/>
      <c r="G33" s="37"/>
      <c r="H33" s="36"/>
      <c r="I33" s="36"/>
      <c r="J33" s="36"/>
      <c r="K33" s="36"/>
      <c r="L33" s="11"/>
    </row>
    <row r="34" spans="1:12" ht="12.75" customHeight="1" x14ac:dyDescent="0.3">
      <c r="A34" s="7"/>
      <c r="B34" s="29"/>
      <c r="C34" s="41" t="e">
        <f>IF(#REF!&lt;&gt;"",CONCATENATE( "    1.2 - Metalizar com camada de ",#REF!),IF(#REF!=1,"   1.2 - Usinagem e Retifica de acabamento",IF(#REF!=2, "   1.2 - Retifica de Acabamento","")))</f>
        <v>#REF!</v>
      </c>
      <c r="D34" s="42"/>
      <c r="E34" s="36"/>
      <c r="F34" s="37"/>
      <c r="G34" s="37"/>
      <c r="H34" s="36"/>
      <c r="I34" s="36"/>
      <c r="J34" s="36"/>
      <c r="K34" s="36"/>
      <c r="L34" s="11"/>
    </row>
    <row r="35" spans="1:12" ht="12.75" customHeight="1" x14ac:dyDescent="0.3">
      <c r="A35" s="2"/>
      <c r="B35" s="29"/>
      <c r="C35" s="41" t="e">
        <f>IF(AND(#REF!=1,#REF!&lt;&gt;""),"    1.3 - Usinagem  e retifica de acabamento.",IF(#REF!=2,"    1.3 - Retifica de acabamento.",""))</f>
        <v>#REF!</v>
      </c>
      <c r="D35" s="42"/>
      <c r="E35" s="36"/>
      <c r="F35" s="37"/>
      <c r="G35" s="37"/>
      <c r="H35" s="36"/>
      <c r="I35" s="36"/>
      <c r="J35" s="36"/>
      <c r="K35" s="36"/>
      <c r="L35" s="11"/>
    </row>
    <row r="36" spans="1:12" ht="12.75" customHeight="1" x14ac:dyDescent="0.3">
      <c r="A36" s="2"/>
      <c r="B36" s="29"/>
      <c r="C36" s="41"/>
      <c r="D36" s="42"/>
      <c r="E36" s="36"/>
      <c r="F36" s="37"/>
      <c r="G36" s="37"/>
      <c r="H36" s="36"/>
      <c r="I36" s="36"/>
      <c r="J36" s="36"/>
      <c r="K36" s="36"/>
      <c r="L36" s="11"/>
    </row>
    <row r="37" spans="1:12" ht="12.75" customHeight="1" x14ac:dyDescent="0.3">
      <c r="A37" s="2"/>
      <c r="B37" s="29"/>
      <c r="C37" s="41"/>
      <c r="D37" s="42"/>
      <c r="E37" s="36"/>
      <c r="F37" s="37"/>
      <c r="G37" s="37"/>
      <c r="H37" s="36"/>
      <c r="I37" s="36"/>
      <c r="J37" s="36"/>
      <c r="K37" s="36"/>
      <c r="L37" s="11"/>
    </row>
    <row r="38" spans="1:12" ht="12.75" customHeight="1" x14ac:dyDescent="0.3">
      <c r="A38" s="2"/>
      <c r="B38" s="29"/>
      <c r="C38" s="41"/>
      <c r="D38" s="42"/>
      <c r="E38" s="36"/>
      <c r="F38" s="37"/>
      <c r="G38" s="37"/>
      <c r="H38" s="36"/>
      <c r="I38" s="36"/>
      <c r="J38" s="36"/>
      <c r="K38" s="36"/>
      <c r="L38" s="11"/>
    </row>
    <row r="39" spans="1:12" ht="15.6" x14ac:dyDescent="0.3">
      <c r="A39" s="2"/>
      <c r="B39" s="30"/>
      <c r="C39" s="35"/>
      <c r="D39" s="38"/>
      <c r="E39" s="38"/>
      <c r="F39" s="38"/>
      <c r="G39" s="38"/>
      <c r="H39" s="16"/>
      <c r="I39" s="16"/>
      <c r="J39" s="16"/>
      <c r="K39" s="39"/>
      <c r="L39" s="11"/>
    </row>
    <row r="40" spans="1:12" ht="16.5" customHeight="1" x14ac:dyDescent="0.35">
      <c r="A40" s="2"/>
      <c r="B40" s="11"/>
      <c r="C40" s="20" t="s">
        <v>3</v>
      </c>
      <c r="D40" s="21"/>
      <c r="E40" s="21"/>
      <c r="F40" s="21"/>
      <c r="G40" s="21"/>
      <c r="H40" s="21"/>
      <c r="I40" s="21"/>
      <c r="J40" s="21"/>
      <c r="K40" s="11"/>
      <c r="L40" s="11"/>
    </row>
    <row r="41" spans="1:12" ht="15.6" x14ac:dyDescent="0.3">
      <c r="A41" s="2"/>
      <c r="B41" s="22"/>
      <c r="C41" s="23" t="s">
        <v>12</v>
      </c>
      <c r="D41" s="23"/>
      <c r="E41" s="23"/>
      <c r="F41" s="25"/>
      <c r="G41" s="43"/>
      <c r="H41" s="31"/>
      <c r="I41" s="24" t="s">
        <v>23</v>
      </c>
      <c r="J41" s="46" t="s">
        <v>34</v>
      </c>
      <c r="K41" s="1"/>
      <c r="L41" s="11"/>
    </row>
    <row r="42" spans="1:12" ht="13.5" customHeight="1" x14ac:dyDescent="0.3">
      <c r="A42" s="2"/>
      <c r="B42" s="22"/>
      <c r="C42" s="23" t="s">
        <v>13</v>
      </c>
      <c r="D42" s="23"/>
      <c r="E42" s="23"/>
      <c r="F42" s="25"/>
      <c r="G42" s="45"/>
      <c r="H42" s="32"/>
      <c r="I42" s="24" t="s">
        <v>18</v>
      </c>
      <c r="J42" s="47" t="s">
        <v>35</v>
      </c>
      <c r="K42" s="44"/>
      <c r="L42" s="11"/>
    </row>
    <row r="43" spans="1:12" ht="15.75" customHeight="1" x14ac:dyDescent="0.3">
      <c r="A43" s="2"/>
      <c r="B43" s="22"/>
      <c r="C43" s="23" t="s">
        <v>0</v>
      </c>
      <c r="D43" s="23"/>
      <c r="E43" s="23"/>
      <c r="F43" s="25"/>
      <c r="G43" s="33"/>
      <c r="H43" s="32"/>
      <c r="I43" s="24" t="s">
        <v>18</v>
      </c>
      <c r="J43" s="12" t="s">
        <v>8</v>
      </c>
      <c r="K43" s="11"/>
      <c r="L43" s="11"/>
    </row>
    <row r="44" spans="1:12" ht="15.75" customHeight="1" x14ac:dyDescent="0.3">
      <c r="A44" s="2"/>
      <c r="B44" s="22"/>
      <c r="C44" s="23" t="s">
        <v>17</v>
      </c>
      <c r="D44" s="23"/>
      <c r="E44" s="23"/>
      <c r="F44" s="25"/>
      <c r="G44" s="17"/>
      <c r="H44" s="29"/>
      <c r="I44" s="24" t="s">
        <v>19</v>
      </c>
      <c r="J44" s="17" t="e">
        <f>CONCATENATE(#REF!, "ddl")</f>
        <v>#REF!</v>
      </c>
      <c r="K44" s="11"/>
      <c r="L44" s="11"/>
    </row>
    <row r="45" spans="1:12" ht="15.75" customHeight="1" x14ac:dyDescent="0.3">
      <c r="A45" s="2"/>
      <c r="B45" s="22"/>
      <c r="C45" s="23" t="s">
        <v>16</v>
      </c>
      <c r="D45" s="23"/>
      <c r="E45" s="23"/>
      <c r="F45" s="25"/>
      <c r="G45" s="12"/>
      <c r="H45" s="12"/>
      <c r="I45" s="24" t="s">
        <v>21</v>
      </c>
      <c r="J45" s="12" t="s">
        <v>36</v>
      </c>
      <c r="K45" s="11"/>
      <c r="L45" s="11"/>
    </row>
    <row r="46" spans="1:12" ht="15.75" customHeight="1" x14ac:dyDescent="0.3">
      <c r="A46" s="2"/>
      <c r="B46" s="22"/>
      <c r="C46" s="23" t="s">
        <v>15</v>
      </c>
      <c r="D46" s="23"/>
      <c r="E46" s="23"/>
      <c r="F46" s="25"/>
      <c r="G46" s="12"/>
      <c r="H46" s="12"/>
      <c r="I46" s="24" t="s">
        <v>20</v>
      </c>
      <c r="J46" s="12" t="s">
        <v>37</v>
      </c>
      <c r="K46" s="11"/>
      <c r="L46" s="11"/>
    </row>
    <row r="47" spans="1:12" ht="15.75" customHeight="1" x14ac:dyDescent="0.3">
      <c r="A47" s="2"/>
      <c r="B47" s="22"/>
      <c r="C47" s="23" t="s">
        <v>14</v>
      </c>
      <c r="D47" s="23"/>
      <c r="E47" s="23"/>
      <c r="F47" s="25"/>
      <c r="G47" s="12"/>
      <c r="H47" s="12"/>
      <c r="I47" s="24" t="s">
        <v>22</v>
      </c>
      <c r="J47" s="12" t="s">
        <v>26</v>
      </c>
      <c r="K47" s="11"/>
      <c r="L47" s="11"/>
    </row>
    <row r="48" spans="1:12" ht="15.6" x14ac:dyDescent="0.3">
      <c r="A48" s="2"/>
      <c r="B48" s="11"/>
      <c r="C48" s="19" t="s">
        <v>4</v>
      </c>
      <c r="D48" s="11"/>
      <c r="E48" s="11"/>
      <c r="F48" s="11"/>
      <c r="G48" s="11"/>
      <c r="H48" s="11"/>
      <c r="I48" s="11"/>
      <c r="J48" s="11"/>
      <c r="K48" s="11"/>
      <c r="L48" s="11"/>
    </row>
    <row r="49" spans="1:14" ht="15.6" x14ac:dyDescent="0.3">
      <c r="A49" s="2"/>
      <c r="B49" s="11"/>
      <c r="C49" s="12"/>
      <c r="D49" s="12"/>
      <c r="E49" s="12"/>
      <c r="F49" s="12"/>
      <c r="G49" s="12"/>
      <c r="H49" s="12"/>
      <c r="I49" s="12"/>
      <c r="J49" s="12"/>
      <c r="K49" s="11"/>
      <c r="L49" s="11"/>
    </row>
    <row r="50" spans="1:14" ht="15.6" x14ac:dyDescent="0.3">
      <c r="A50" s="2"/>
      <c r="B50" s="30"/>
      <c r="C50" s="50" t="e">
        <f>IF(C51&lt;&gt;"","Nota:","")</f>
        <v>#REF!</v>
      </c>
      <c r="D50" s="28"/>
      <c r="E50" s="28"/>
      <c r="F50" s="28"/>
      <c r="G50" s="28"/>
      <c r="H50" s="12"/>
      <c r="I50" s="12"/>
      <c r="J50" s="12"/>
      <c r="K50" s="11"/>
      <c r="L50" s="11"/>
    </row>
    <row r="51" spans="1:14" ht="15.6" x14ac:dyDescent="0.3">
      <c r="A51" s="2"/>
      <c r="B51" s="30"/>
      <c r="C51" s="49" t="e">
        <f>IF(#REF!="", "",#REF!)</f>
        <v>#REF!</v>
      </c>
      <c r="D51" s="28"/>
      <c r="E51" s="28"/>
      <c r="F51" s="28"/>
      <c r="G51" s="28"/>
      <c r="H51" s="12"/>
      <c r="I51" s="12"/>
      <c r="J51" s="12"/>
      <c r="K51" s="12"/>
      <c r="L51" s="11"/>
    </row>
    <row r="52" spans="1:14" ht="15.6" x14ac:dyDescent="0.3">
      <c r="A52" s="2"/>
      <c r="B52" s="30"/>
      <c r="C52" s="49" t="e">
        <f>IF(#REF!="", "",#REF!)</f>
        <v>#REF!</v>
      </c>
      <c r="D52" s="28"/>
      <c r="E52" s="28"/>
      <c r="F52" s="28"/>
      <c r="G52" s="28"/>
      <c r="H52" s="12"/>
      <c r="I52" s="12"/>
      <c r="J52" s="12"/>
      <c r="K52" s="11"/>
      <c r="L52" s="11"/>
    </row>
    <row r="53" spans="1:14" ht="15.6" x14ac:dyDescent="0.3">
      <c r="A53" s="2"/>
      <c r="B53" s="30"/>
      <c r="C53" s="49" t="e">
        <f>IF(#REF!="", "",#REF!)</f>
        <v>#REF!</v>
      </c>
      <c r="D53" s="28"/>
      <c r="E53" s="28"/>
      <c r="F53" s="28"/>
      <c r="G53" s="28"/>
      <c r="H53" s="12"/>
      <c r="I53" s="12"/>
      <c r="J53" s="12"/>
      <c r="K53" s="11"/>
      <c r="L53" s="11"/>
    </row>
    <row r="54" spans="1:14" ht="15.6" x14ac:dyDescent="0.3">
      <c r="A54" s="2"/>
      <c r="B54" s="30"/>
      <c r="C54" s="49" t="e">
        <f>IF(#REF!="", "",#REF!)</f>
        <v>#REF!</v>
      </c>
      <c r="D54" s="28"/>
      <c r="E54" s="28"/>
      <c r="F54" s="28"/>
      <c r="G54" s="28"/>
      <c r="H54" s="12"/>
      <c r="I54" s="12"/>
      <c r="J54" s="12"/>
      <c r="K54" s="11"/>
      <c r="L54" s="11"/>
    </row>
    <row r="55" spans="1:14" ht="15.6" x14ac:dyDescent="0.3">
      <c r="A55" s="2"/>
      <c r="B55" s="28"/>
      <c r="C55" s="49" t="e">
        <f>IF(#REF!="", "",#REF!)</f>
        <v>#REF!</v>
      </c>
      <c r="D55" s="28"/>
      <c r="E55" s="28"/>
      <c r="F55" s="34"/>
      <c r="G55" s="28"/>
      <c r="H55" s="12"/>
      <c r="I55" s="12"/>
      <c r="J55" s="12"/>
      <c r="K55" s="11"/>
      <c r="L55" s="11"/>
    </row>
    <row r="56" spans="1:14" ht="15.6" x14ac:dyDescent="0.3">
      <c r="A56" s="2"/>
      <c r="B56" s="30"/>
      <c r="C56" s="30"/>
      <c r="D56" s="30"/>
      <c r="E56" s="30"/>
      <c r="F56" s="30"/>
      <c r="G56" s="30"/>
      <c r="H56" s="11"/>
      <c r="I56" s="11"/>
      <c r="J56" s="11"/>
      <c r="K56" s="11"/>
      <c r="L56" s="11"/>
    </row>
    <row r="57" spans="1:14" ht="15.6" x14ac:dyDescent="0.3">
      <c r="A57" s="2"/>
      <c r="B57" s="11"/>
      <c r="C57" s="11" t="s">
        <v>24</v>
      </c>
      <c r="D57" s="11"/>
      <c r="E57" s="11"/>
      <c r="F57" s="11"/>
      <c r="G57" s="11"/>
      <c r="H57" s="11"/>
      <c r="I57" s="11" t="e">
        <f>IF(#REF!=10,"Waldemir G. Toledo",IF(#REF!=20,"Eng. Adriano Quelhas dos Santos",IF(#REF!=30,"Eng. Amaury Vasques","")))</f>
        <v>#REF!</v>
      </c>
      <c r="J57" s="11"/>
      <c r="K57" s="11"/>
      <c r="L57" s="11"/>
    </row>
    <row r="58" spans="1:14" ht="15.6" x14ac:dyDescent="0.3">
      <c r="A58" s="2"/>
      <c r="B58" s="11"/>
      <c r="C58" s="11" t="s">
        <v>11</v>
      </c>
      <c r="D58" s="11"/>
      <c r="E58" s="11"/>
      <c r="F58" s="11"/>
      <c r="G58" s="11"/>
      <c r="H58" s="11"/>
      <c r="I58" s="11" t="e">
        <f>IF(I57&lt;&gt;"","Representate Comercial","")</f>
        <v>#REF!</v>
      </c>
      <c r="J58" s="11"/>
      <c r="K58" s="11"/>
      <c r="L58" s="11"/>
    </row>
    <row r="59" spans="1:14" ht="15.6" x14ac:dyDescent="0.3">
      <c r="A59" s="2"/>
      <c r="B59" s="11"/>
      <c r="C59" s="11" t="s">
        <v>25</v>
      </c>
      <c r="D59" s="11"/>
      <c r="E59" s="11"/>
      <c r="F59" s="11"/>
      <c r="G59" s="11"/>
      <c r="H59" s="11"/>
      <c r="I59" s="9" t="e">
        <f>IF(#REF!=10,"Cel.: 9.9127-9590 / 9.9457-5785",IF(#REF!=20,"Cel.: 11-9.9706-1634",IF(#REF!=30,"Cel.: 12-9.9120-8028","")))</f>
        <v>#REF!</v>
      </c>
      <c r="J59" s="11"/>
      <c r="K59" s="11"/>
      <c r="L59" s="11"/>
    </row>
    <row r="60" spans="1:14" ht="15.6" x14ac:dyDescent="0.3">
      <c r="A60" s="2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4" ht="15.6" x14ac:dyDescent="0.3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4" ht="15.6" x14ac:dyDescent="0.3">
      <c r="A62" s="2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N62" s="2"/>
    </row>
    <row r="63" spans="1:14" ht="15.6" x14ac:dyDescent="0.3">
      <c r="A63" s="2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</row>
    <row r="64" spans="1:14" ht="15.6" x14ac:dyDescent="0.3">
      <c r="A64" s="2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</row>
  </sheetData>
  <sheetProtection insertRows="0" deleteRows="0" selectLockedCells="1"/>
  <mergeCells count="2">
    <mergeCell ref="J12:L12"/>
    <mergeCell ref="D9:J9"/>
  </mergeCells>
  <phoneticPr fontId="0" type="noConversion"/>
  <printOptions horizontalCentered="1"/>
  <pageMargins left="0" right="0" top="0" bottom="0" header="0" footer="0"/>
  <pageSetup paperSize="9" scale="88" orientation="portrait" r:id="rId1"/>
  <headerFooter alignWithMargins="0">
    <oddHeader>&amp;L&amp;G &amp;[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CheckBoxHipersonico">
              <controlPr locked="0" defaultSize="0" autoFill="0" autoLine="0" autoPict="0">
                <anchor moveWithCells="1">
                  <from>
                    <xdr:col>2</xdr:col>
                    <xdr:colOff>198120</xdr:colOff>
                    <xdr:row>26</xdr:row>
                    <xdr:rowOff>76200</xdr:rowOff>
                  </from>
                  <to>
                    <xdr:col>4</xdr:col>
                    <xdr:colOff>114300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5" name="CheckBoxFlameSpray">
              <controlPr locked="0" defaultSize="0" autoFill="0" autoLine="0" autoPict="0">
                <anchor>
                  <from>
                    <xdr:col>2</xdr:col>
                    <xdr:colOff>198120</xdr:colOff>
                    <xdr:row>27</xdr:row>
                    <xdr:rowOff>121920</xdr:rowOff>
                  </from>
                  <to>
                    <xdr:col>4</xdr:col>
                    <xdr:colOff>365760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6" name="CheckBoxThermoSpray">
              <controlPr defaultSize="0" autoFill="0" autoLine="0" autoPict="0">
                <anchor moveWithCells="1">
                  <from>
                    <xdr:col>2</xdr:col>
                    <xdr:colOff>198120</xdr:colOff>
                    <xdr:row>28</xdr:row>
                    <xdr:rowOff>121920</xdr:rowOff>
                  </from>
                  <to>
                    <xdr:col>4</xdr:col>
                    <xdr:colOff>487680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7" name="CheckBoxArcSpray">
              <controlPr defaultSize="0" autoFill="0" autoLine="0" autoPict="0">
                <anchor moveWithCells="1">
                  <from>
                    <xdr:col>6</xdr:col>
                    <xdr:colOff>0</xdr:colOff>
                    <xdr:row>26</xdr:row>
                    <xdr:rowOff>106680</xdr:rowOff>
                  </from>
                  <to>
                    <xdr:col>7</xdr:col>
                    <xdr:colOff>182880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CheckBoxPlasmaSpray">
              <controlPr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114300</xdr:rowOff>
                  </from>
                  <to>
                    <xdr:col>7</xdr:col>
                    <xdr:colOff>502920</xdr:colOff>
                    <xdr:row>28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9" name="CheckBoxGalvanoplastia">
              <controlPr defaultSize="0" autoFill="0" autoLine="0" autoPict="0">
                <anchor moveWithCells="1">
                  <from>
                    <xdr:col>6</xdr:col>
                    <xdr:colOff>0</xdr:colOff>
                    <xdr:row>28</xdr:row>
                    <xdr:rowOff>137160</xdr:rowOff>
                  </from>
                  <to>
                    <xdr:col>7</xdr:col>
                    <xdr:colOff>144780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0" name="CheckBoxOutros">
              <controlPr defaultSize="0" autoFill="0" autoLine="0" autoPict="0">
                <anchor moveWithCells="1">
                  <from>
                    <xdr:col>8</xdr:col>
                    <xdr:colOff>685800</xdr:colOff>
                    <xdr:row>28</xdr:row>
                    <xdr:rowOff>137160</xdr:rowOff>
                  </from>
                  <to>
                    <xdr:col>10</xdr:col>
                    <xdr:colOff>335280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1" name="CheckBoxSoldaTig">
              <controlPr defaultSize="0" autoFill="0" autoLine="0" autoPict="0">
                <anchor moveWithCells="1">
                  <from>
                    <xdr:col>8</xdr:col>
                    <xdr:colOff>685800</xdr:colOff>
                    <xdr:row>27</xdr:row>
                    <xdr:rowOff>121920</xdr:rowOff>
                  </from>
                  <to>
                    <xdr:col>10</xdr:col>
                    <xdr:colOff>30480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2" name="CheckboxSoldaMig">
              <controlPr defaultSize="0" autoFill="0" autoLine="0" autoPict="0">
                <anchor moveWithCells="1">
                  <from>
                    <xdr:col>8</xdr:col>
                    <xdr:colOff>685800</xdr:colOff>
                    <xdr:row>26</xdr:row>
                    <xdr:rowOff>114300</xdr:rowOff>
                  </from>
                  <to>
                    <xdr:col>9</xdr:col>
                    <xdr:colOff>922020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7DADE-4E18-478B-AA0A-BAA8EF0D0CCF}">
  <sheetPr codeName="Plan5">
    <pageSetUpPr fitToPage="1"/>
  </sheetPr>
  <dimension ref="A2:R64"/>
  <sheetViews>
    <sheetView topLeftCell="A4" zoomScale="90" zoomScaleNormal="100" workbookViewId="0">
      <selection activeCell="C15" sqref="C15"/>
    </sheetView>
  </sheetViews>
  <sheetFormatPr defaultRowHeight="13.2" x14ac:dyDescent="0.25"/>
  <cols>
    <col min="2" max="2" width="7.5546875" customWidth="1"/>
    <col min="3" max="3" width="10.44140625" bestFit="1" customWidth="1"/>
    <col min="5" max="5" width="13.5546875" customWidth="1"/>
    <col min="6" max="6" width="9.88671875" bestFit="1" customWidth="1"/>
    <col min="7" max="7" width="15" bestFit="1" customWidth="1"/>
    <col min="9" max="9" width="10.44140625" bestFit="1" customWidth="1"/>
    <col min="10" max="10" width="14.5546875" customWidth="1"/>
    <col min="11" max="11" width="12.109375" customWidth="1"/>
    <col min="12" max="12" width="4.6640625" customWidth="1"/>
  </cols>
  <sheetData>
    <row r="2" spans="1:12" ht="15.6" x14ac:dyDescent="0.3">
      <c r="A2" s="2"/>
      <c r="B2" s="2"/>
      <c r="C2" s="3"/>
      <c r="D2" s="3"/>
      <c r="E2" s="3"/>
      <c r="F2" s="3"/>
      <c r="G2" s="3"/>
      <c r="H2" s="3"/>
      <c r="I2" s="3"/>
      <c r="J2" s="3"/>
      <c r="K2" s="2"/>
      <c r="L2" s="2"/>
    </row>
    <row r="3" spans="1:12" ht="15.6" x14ac:dyDescent="0.3">
      <c r="A3" s="2"/>
      <c r="B3" s="4"/>
      <c r="C3" s="5"/>
      <c r="D3" s="5"/>
      <c r="E3" s="5"/>
      <c r="F3" s="5"/>
      <c r="G3" s="5"/>
      <c r="H3" s="5"/>
      <c r="I3" s="5"/>
      <c r="J3" s="5"/>
      <c r="K3" s="4"/>
      <c r="L3" s="4"/>
    </row>
    <row r="4" spans="1:12" ht="15.6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9"/>
      <c r="L4" s="9"/>
    </row>
    <row r="5" spans="1:12" ht="15.6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9"/>
      <c r="L5" s="9"/>
    </row>
    <row r="6" spans="1:12" ht="15.6" x14ac:dyDescent="0.3">
      <c r="A6" s="2"/>
      <c r="B6" s="11"/>
      <c r="C6" s="12"/>
      <c r="D6" s="12"/>
      <c r="E6" s="12"/>
      <c r="F6" s="12"/>
      <c r="G6" s="12"/>
      <c r="H6" s="12"/>
      <c r="I6" s="12"/>
      <c r="J6" s="12"/>
      <c r="K6" s="11"/>
      <c r="L6" s="11"/>
    </row>
    <row r="7" spans="1:12" ht="15.6" x14ac:dyDescent="0.3">
      <c r="A7" s="2"/>
      <c r="B7" s="11"/>
      <c r="C7" s="12"/>
      <c r="D7" s="12"/>
      <c r="E7" s="12"/>
      <c r="F7" s="12"/>
      <c r="G7" s="12"/>
      <c r="H7" s="12"/>
      <c r="I7" s="12"/>
      <c r="J7" s="12"/>
      <c r="K7" s="11"/>
      <c r="L7" s="11"/>
    </row>
    <row r="8" spans="1:12" ht="9.75" customHeight="1" x14ac:dyDescent="0.3">
      <c r="A8" s="2"/>
      <c r="B8" s="11"/>
      <c r="C8" s="12"/>
      <c r="D8" s="11"/>
      <c r="E8" s="11"/>
      <c r="F8" s="11"/>
      <c r="G8" s="11"/>
      <c r="H8" s="11"/>
      <c r="I8" s="11"/>
      <c r="J8" s="11"/>
      <c r="K8" s="11"/>
      <c r="L8" s="11"/>
    </row>
    <row r="9" spans="1:12" ht="17.399999999999999" x14ac:dyDescent="0.3">
      <c r="A9" s="2"/>
      <c r="B9" s="53"/>
      <c r="C9" s="53"/>
      <c r="D9" s="57" t="e">
        <f>CONCATENATE("Proposta Técnica Comercial nº: ",#REF!,IF(#REF!&lt;&gt; "",CONCATENATE(".0",#REF!),".00"),IF(#REF!&lt;&gt;"",CONCATENATE(" - Rev. ",#REF!)," ")," /20")</f>
        <v>#REF!</v>
      </c>
      <c r="E9" s="57"/>
      <c r="F9" s="57"/>
      <c r="G9" s="57"/>
      <c r="H9" s="57"/>
      <c r="I9" s="57"/>
      <c r="J9" s="57"/>
      <c r="K9" s="53"/>
      <c r="L9" s="53"/>
    </row>
    <row r="10" spans="1:12" ht="15.6" x14ac:dyDescent="0.3">
      <c r="A10" s="2"/>
      <c r="B10" s="11"/>
      <c r="C10" s="12"/>
      <c r="D10" s="11"/>
      <c r="E10" s="11"/>
      <c r="F10" s="11"/>
      <c r="G10" s="11"/>
      <c r="H10" s="11"/>
      <c r="I10" s="11"/>
      <c r="J10" s="11"/>
      <c r="K10" s="11"/>
      <c r="L10" s="11"/>
    </row>
    <row r="11" spans="1:12" ht="15.6" x14ac:dyDescent="0.3">
      <c r="A11" s="2"/>
      <c r="B11" s="11"/>
      <c r="C11" s="12"/>
      <c r="D11" s="11"/>
      <c r="E11" s="11"/>
      <c r="F11" s="11"/>
      <c r="G11" s="11"/>
      <c r="H11" s="11"/>
      <c r="I11" s="11"/>
      <c r="J11" s="11"/>
      <c r="K11" s="11"/>
      <c r="L11" s="11"/>
    </row>
    <row r="12" spans="1:12" ht="15.6" x14ac:dyDescent="0.3">
      <c r="A12" s="2"/>
      <c r="B12" s="11"/>
      <c r="C12" s="12"/>
      <c r="D12" s="11"/>
      <c r="E12" s="11"/>
      <c r="F12" s="11"/>
      <c r="G12" s="11"/>
      <c r="H12" s="11"/>
      <c r="I12" s="13" t="s">
        <v>10</v>
      </c>
      <c r="J12" s="55">
        <f ca="1">TODAY()</f>
        <v>44161</v>
      </c>
      <c r="K12" s="56"/>
      <c r="L12" s="56"/>
    </row>
    <row r="13" spans="1:12" ht="15.6" x14ac:dyDescent="0.3">
      <c r="A13" s="2"/>
      <c r="B13" s="11"/>
      <c r="C13" s="12"/>
      <c r="D13" s="11"/>
      <c r="E13" s="11"/>
      <c r="F13" s="11"/>
      <c r="G13" s="11"/>
      <c r="H13" s="11"/>
      <c r="I13" s="13"/>
      <c r="J13" s="52"/>
      <c r="K13" s="15"/>
      <c r="L13" s="15"/>
    </row>
    <row r="14" spans="1:12" ht="15.6" x14ac:dyDescent="0.3">
      <c r="A14" s="2"/>
      <c r="B14" s="11"/>
      <c r="C14" s="16" t="s">
        <v>7</v>
      </c>
      <c r="D14" s="11"/>
      <c r="E14" s="11"/>
      <c r="F14" s="11"/>
      <c r="G14" s="11"/>
      <c r="H14" s="11"/>
      <c r="I14" s="11"/>
      <c r="J14" s="11"/>
      <c r="K14" s="11"/>
      <c r="L14" s="11"/>
    </row>
    <row r="15" spans="1:12" ht="15.6" x14ac:dyDescent="0.3">
      <c r="A15" s="2"/>
      <c r="B15" s="12"/>
      <c r="C15" s="12" t="e">
        <f>#REF!</f>
        <v>#REF!</v>
      </c>
      <c r="D15" s="17"/>
      <c r="E15" s="17"/>
      <c r="F15" s="17"/>
      <c r="G15" s="17"/>
      <c r="H15" s="17"/>
      <c r="I15" s="17"/>
      <c r="J15" s="17"/>
      <c r="K15" s="17"/>
      <c r="L15" s="11"/>
    </row>
    <row r="16" spans="1:12" ht="15.6" x14ac:dyDescent="0.3">
      <c r="A16" s="2"/>
      <c r="B16" s="12"/>
      <c r="C16" s="12" t="e">
        <f xml:space="preserve">   CONCATENATE("Att. ",#REF!)</f>
        <v>#REF!</v>
      </c>
      <c r="D16" s="12"/>
      <c r="E16" s="12"/>
      <c r="F16" s="12"/>
      <c r="G16" s="12"/>
      <c r="H16" s="12"/>
      <c r="I16" s="11"/>
      <c r="J16" s="12" t="e">
        <f>IF(#REF!&lt;&gt;"",CONCATENATE(" Cel.: ",#REF!),"")</f>
        <v>#REF!</v>
      </c>
      <c r="K16" s="18"/>
      <c r="L16" s="11"/>
    </row>
    <row r="17" spans="1:18" ht="15.6" x14ac:dyDescent="0.3">
      <c r="A17" s="2"/>
      <c r="B17" s="11"/>
      <c r="C17" s="12" t="e">
        <f>CONCATENATE("E-mail: ",#REF!)</f>
        <v>#REF!</v>
      </c>
      <c r="D17" s="6"/>
      <c r="E17" s="11"/>
      <c r="F17" s="11"/>
      <c r="G17" s="11"/>
      <c r="H17" s="11"/>
      <c r="I17" s="12"/>
      <c r="J17" s="12" t="e">
        <f>CONCATENATE(" Fone: ",#REF!)</f>
        <v>#REF!</v>
      </c>
      <c r="K17" s="11"/>
      <c r="L17" s="11"/>
    </row>
    <row r="18" spans="1:18" ht="15.6" x14ac:dyDescent="0.3">
      <c r="A18" s="2"/>
      <c r="B18" s="11"/>
      <c r="C18" s="54" t="s">
        <v>9</v>
      </c>
      <c r="D18" s="11"/>
      <c r="E18" s="11"/>
      <c r="F18" s="11"/>
      <c r="G18" s="11"/>
      <c r="H18" s="11"/>
      <c r="I18" s="11"/>
      <c r="J18" s="11"/>
      <c r="K18" s="11"/>
      <c r="L18" s="11"/>
    </row>
    <row r="19" spans="1:18" ht="15.6" x14ac:dyDescent="0.3">
      <c r="A19" s="2"/>
      <c r="B19" s="11"/>
      <c r="C19" s="12"/>
      <c r="D19" s="12"/>
      <c r="E19" s="12"/>
      <c r="F19" s="12"/>
      <c r="G19" s="12"/>
      <c r="H19" s="12"/>
      <c r="I19" s="12"/>
      <c r="J19" s="12"/>
      <c r="K19" s="11"/>
      <c r="L19" s="11"/>
    </row>
    <row r="20" spans="1:18" ht="16.2" x14ac:dyDescent="0.35">
      <c r="A20" s="2"/>
      <c r="B20" s="11"/>
      <c r="C20" s="20" t="s">
        <v>1</v>
      </c>
      <c r="D20" s="21"/>
      <c r="E20" s="21"/>
      <c r="F20" s="21"/>
      <c r="G20" s="21"/>
      <c r="H20" s="21"/>
      <c r="I20" s="21"/>
      <c r="J20" s="21"/>
      <c r="K20" s="11"/>
      <c r="L20" s="11"/>
    </row>
    <row r="21" spans="1:18" ht="15.75" customHeight="1" x14ac:dyDescent="0.3">
      <c r="A21" s="2"/>
      <c r="B21" s="22"/>
      <c r="C21" s="23" t="e">
        <f>CONCATENATE("Descrição..........................: ",#REF!,", ",IF(#REF!&lt;&gt;"","medindo ",""),#REF!,"")</f>
        <v>#REF!</v>
      </c>
      <c r="D21" s="22"/>
      <c r="E21" s="22"/>
      <c r="F21" s="24"/>
      <c r="G21" s="12"/>
      <c r="H21" s="11"/>
      <c r="I21" s="11"/>
      <c r="J21" s="11"/>
      <c r="K21" s="11"/>
      <c r="L21" s="11"/>
    </row>
    <row r="22" spans="1:18" ht="15.75" customHeight="1" x14ac:dyDescent="0.3">
      <c r="A22" s="2"/>
      <c r="B22" s="22"/>
      <c r="C22" s="48" t="e">
        <f>CONCATENATE("Quantidade.......................: ",#REF!," ",#REF!,IF(#REF!&lt;&gt;"",CONCATENATE(" - ",#REF!)," "))</f>
        <v>#REF!</v>
      </c>
      <c r="D22" s="22"/>
      <c r="E22" s="25"/>
      <c r="F22" s="26"/>
      <c r="G22" s="12"/>
      <c r="H22" s="11"/>
      <c r="I22" s="11"/>
      <c r="J22" s="11"/>
      <c r="K22" s="11"/>
      <c r="L22" s="11"/>
    </row>
    <row r="23" spans="1:18" ht="15.75" customHeight="1" x14ac:dyDescent="0.3">
      <c r="A23" s="2"/>
      <c r="B23" s="22"/>
      <c r="C23" s="23" t="e">
        <f xml:space="preserve"> CONCATENATE("Região a ser trabalhada....: ",#REF!)</f>
        <v>#REF!</v>
      </c>
      <c r="D23" s="22"/>
      <c r="E23" s="22"/>
      <c r="F23" s="24"/>
      <c r="G23" s="12"/>
      <c r="H23" s="11"/>
      <c r="I23" s="11"/>
      <c r="J23" s="11"/>
      <c r="K23" s="11"/>
      <c r="L23" s="11"/>
    </row>
    <row r="24" spans="1:18" ht="15.6" x14ac:dyDescent="0.3">
      <c r="A24" s="2"/>
      <c r="B24" s="22"/>
      <c r="C24" s="23" t="e">
        <f>CONCATENATE("Camada a ser aplicada......: ",#REF!)</f>
        <v>#REF!</v>
      </c>
      <c r="D24" s="22"/>
      <c r="E24" s="22"/>
      <c r="F24" s="24"/>
      <c r="G24" s="12"/>
      <c r="H24" s="11"/>
      <c r="I24" s="11"/>
      <c r="J24" s="11"/>
      <c r="K24" s="11"/>
      <c r="L24" s="11"/>
    </row>
    <row r="25" spans="1:18" ht="15.6" x14ac:dyDescent="0.3">
      <c r="A25" s="2"/>
      <c r="B25" s="11"/>
      <c r="C25" s="12"/>
      <c r="D25" s="12"/>
      <c r="E25" s="12"/>
      <c r="F25" s="12"/>
      <c r="G25" s="12"/>
      <c r="H25" s="12"/>
      <c r="I25" s="12"/>
      <c r="J25" s="12"/>
      <c r="K25" s="11"/>
      <c r="L25" s="11"/>
    </row>
    <row r="26" spans="1:18" ht="16.2" x14ac:dyDescent="0.35">
      <c r="A26" s="2"/>
      <c r="B26" s="11"/>
      <c r="C26" s="27" t="s">
        <v>2</v>
      </c>
      <c r="D26" s="21"/>
      <c r="E26" s="21"/>
      <c r="F26" s="21"/>
      <c r="G26" s="21"/>
      <c r="H26" s="21"/>
      <c r="I26" s="21"/>
      <c r="J26" s="21"/>
      <c r="K26" s="11"/>
      <c r="L26" s="11"/>
    </row>
    <row r="27" spans="1:18" ht="15.75" customHeight="1" x14ac:dyDescent="0.3">
      <c r="A27" s="2"/>
      <c r="B27" s="11"/>
      <c r="C27" s="28"/>
      <c r="D27" s="12"/>
      <c r="E27" s="11"/>
      <c r="F27" s="12"/>
      <c r="G27" s="12"/>
      <c r="H27" s="11"/>
      <c r="I27" s="11" t="s">
        <v>5</v>
      </c>
      <c r="J27" s="11"/>
      <c r="K27" s="11"/>
      <c r="L27" s="11"/>
    </row>
    <row r="28" spans="1:18" ht="15.75" customHeight="1" x14ac:dyDescent="0.3">
      <c r="A28" s="2"/>
      <c r="B28" s="11"/>
      <c r="C28" s="12"/>
      <c r="D28" s="12"/>
      <c r="E28" s="11"/>
      <c r="F28" s="12"/>
      <c r="G28" s="12"/>
      <c r="H28" s="11"/>
      <c r="I28" s="11"/>
      <c r="J28" s="11"/>
      <c r="K28" s="11"/>
      <c r="L28" s="11"/>
    </row>
    <row r="29" spans="1:18" ht="15.75" customHeight="1" x14ac:dyDescent="0.3">
      <c r="A29" s="2"/>
      <c r="B29" s="11"/>
      <c r="C29" s="12"/>
      <c r="D29" s="12"/>
      <c r="E29" s="11"/>
      <c r="F29" s="12"/>
      <c r="G29" s="12"/>
      <c r="H29" s="11"/>
      <c r="I29" s="11" t="s">
        <v>5</v>
      </c>
      <c r="J29" s="11"/>
      <c r="K29" s="11"/>
      <c r="L29" s="11"/>
    </row>
    <row r="30" spans="1:18" ht="15.6" x14ac:dyDescent="0.3">
      <c r="A30" s="2"/>
      <c r="B30" s="11"/>
      <c r="C30" s="12"/>
      <c r="D30" s="12"/>
      <c r="E30" s="12"/>
      <c r="F30" s="12"/>
      <c r="G30" s="12"/>
      <c r="H30" s="12"/>
      <c r="I30" s="12"/>
      <c r="J30" s="12"/>
      <c r="K30" s="11"/>
      <c r="L30" s="11"/>
      <c r="R30" s="40"/>
    </row>
    <row r="31" spans="1:18" ht="16.2" x14ac:dyDescent="0.35">
      <c r="A31" s="2"/>
      <c r="B31" s="11"/>
      <c r="C31" s="20" t="s">
        <v>6</v>
      </c>
      <c r="D31" s="21"/>
      <c r="E31" s="21"/>
      <c r="F31" s="21"/>
      <c r="G31" s="21"/>
      <c r="H31" s="21"/>
      <c r="I31" s="21"/>
      <c r="J31" s="21"/>
      <c r="K31" s="11"/>
      <c r="L31" s="11"/>
    </row>
    <row r="32" spans="1:18" ht="15.6" x14ac:dyDescent="0.3">
      <c r="A32" s="7"/>
      <c r="B32" s="29"/>
      <c r="C32" s="41" t="e">
        <f>CONCATENATE(" 1. Revestimento pelo processo de",IF(#REF!="x"," Aspersão Térmica  Arco Elétrico",IF(#REF!="x"," Aspersão Térmica  Hipersônico HVOF",IF(#REF!&lt;&gt;""," Galvanoplastia",IF(#REF!="x","  Aspersão Térmica Plasma Spray",IF(#REF!&lt;&gt;"",""""))))))</f>
        <v>#REF!</v>
      </c>
      <c r="D32" s="36"/>
      <c r="E32" s="36"/>
      <c r="F32" s="37"/>
      <c r="G32" s="37"/>
      <c r="H32" s="36"/>
      <c r="I32" s="36"/>
      <c r="J32" s="36"/>
      <c r="K32" s="36"/>
      <c r="L32" s="11"/>
    </row>
    <row r="33" spans="1:12" ht="12.75" customHeight="1" x14ac:dyDescent="0.3">
      <c r="A33" s="7"/>
      <c r="B33" s="29"/>
      <c r="C33" s="41" t="e">
        <f>IF(#REF!=1,"    1.1 - Usinagem de preparação", IF(#REF!=2,"    1.1 - Retifica de preparação ",IF(#REF!&lt;&gt;"",CONCATENATE("   1.1 - Metalizar com camada de ",#REF!,""))))</f>
        <v>#REF!</v>
      </c>
      <c r="D33" s="36"/>
      <c r="E33" s="36"/>
      <c r="F33" s="37"/>
      <c r="G33" s="37"/>
      <c r="H33" s="36"/>
      <c r="I33" s="36"/>
      <c r="J33" s="36"/>
      <c r="K33" s="36"/>
      <c r="L33" s="11"/>
    </row>
    <row r="34" spans="1:12" ht="12.75" customHeight="1" x14ac:dyDescent="0.3">
      <c r="A34" s="7"/>
      <c r="B34" s="29"/>
      <c r="C34" s="41" t="e">
        <f>IF(#REF!&lt;&gt;"",CONCATENATE( "    1.2 - Metalizar com camada de ",#REF!),IF(#REF!=1,"   1.2 - Usinagem e Retifica de acabamento",IF(#REF!=2, "   1.2 - Retifica de Acabamento","")))</f>
        <v>#REF!</v>
      </c>
      <c r="D34" s="42"/>
      <c r="E34" s="36"/>
      <c r="F34" s="37"/>
      <c r="G34" s="37"/>
      <c r="H34" s="36"/>
      <c r="I34" s="36"/>
      <c r="J34" s="36"/>
      <c r="K34" s="36"/>
      <c r="L34" s="11"/>
    </row>
    <row r="35" spans="1:12" ht="12.75" customHeight="1" x14ac:dyDescent="0.3">
      <c r="A35" s="2"/>
      <c r="B35" s="29"/>
      <c r="C35" s="41" t="e">
        <f>IF(AND(#REF!=1,#REF!&lt;&gt;""),"    1.3 - Usinagem  e retifica de acabamento.",IF(#REF!=2,"    1.3 - Retifica de acabamento.",""))</f>
        <v>#REF!</v>
      </c>
      <c r="D35" s="42"/>
      <c r="E35" s="36"/>
      <c r="F35" s="37"/>
      <c r="G35" s="37"/>
      <c r="H35" s="36"/>
      <c r="I35" s="36"/>
      <c r="J35" s="36"/>
      <c r="K35" s="36"/>
      <c r="L35" s="11"/>
    </row>
    <row r="36" spans="1:12" ht="12.75" customHeight="1" x14ac:dyDescent="0.3">
      <c r="A36" s="2"/>
      <c r="B36" s="29"/>
      <c r="C36" s="41"/>
      <c r="D36" s="42"/>
      <c r="E36" s="36"/>
      <c r="F36" s="37"/>
      <c r="G36" s="37"/>
      <c r="H36" s="36"/>
      <c r="I36" s="36"/>
      <c r="J36" s="36"/>
      <c r="K36" s="36"/>
      <c r="L36" s="11"/>
    </row>
    <row r="37" spans="1:12" ht="12.75" customHeight="1" x14ac:dyDescent="0.3">
      <c r="A37" s="2"/>
      <c r="B37" s="29"/>
      <c r="C37" s="41"/>
      <c r="D37" s="42"/>
      <c r="E37" s="36"/>
      <c r="F37" s="37"/>
      <c r="G37" s="37"/>
      <c r="H37" s="36"/>
      <c r="I37" s="36"/>
      <c r="J37" s="36"/>
      <c r="K37" s="36"/>
      <c r="L37" s="11"/>
    </row>
    <row r="38" spans="1:12" ht="12.75" customHeight="1" x14ac:dyDescent="0.3">
      <c r="A38" s="2"/>
      <c r="B38" s="29"/>
      <c r="C38" s="41"/>
      <c r="D38" s="42"/>
      <c r="E38" s="36"/>
      <c r="F38" s="37"/>
      <c r="G38" s="37"/>
      <c r="H38" s="36"/>
      <c r="I38" s="36"/>
      <c r="J38" s="36"/>
      <c r="K38" s="36"/>
      <c r="L38" s="11"/>
    </row>
    <row r="39" spans="1:12" ht="15.6" x14ac:dyDescent="0.3">
      <c r="A39" s="2"/>
      <c r="B39" s="30"/>
      <c r="C39" s="35"/>
      <c r="D39" s="38"/>
      <c r="E39" s="38"/>
      <c r="F39" s="38"/>
      <c r="G39" s="38"/>
      <c r="H39" s="16"/>
      <c r="I39" s="16"/>
      <c r="J39" s="16"/>
      <c r="K39" s="39"/>
      <c r="L39" s="11"/>
    </row>
    <row r="40" spans="1:12" ht="16.5" customHeight="1" x14ac:dyDescent="0.35">
      <c r="A40" s="2"/>
      <c r="B40" s="11"/>
      <c r="C40" s="20" t="s">
        <v>3</v>
      </c>
      <c r="D40" s="21"/>
      <c r="E40" s="21"/>
      <c r="F40" s="21"/>
      <c r="G40" s="21"/>
      <c r="H40" s="21"/>
      <c r="I40" s="21"/>
      <c r="J40" s="21"/>
      <c r="K40" s="11"/>
      <c r="L40" s="11"/>
    </row>
    <row r="41" spans="1:12" ht="15.6" x14ac:dyDescent="0.3">
      <c r="A41" s="2"/>
      <c r="B41" s="22"/>
      <c r="C41" s="23" t="s">
        <v>12</v>
      </c>
      <c r="D41" s="23"/>
      <c r="E41" s="23"/>
      <c r="F41" s="25"/>
      <c r="G41" s="43"/>
      <c r="H41" s="31"/>
      <c r="I41" s="24" t="s">
        <v>23</v>
      </c>
      <c r="J41" s="46" t="e">
        <f>#REF!</f>
        <v>#REF!</v>
      </c>
      <c r="K41" s="1"/>
      <c r="L41" s="11"/>
    </row>
    <row r="42" spans="1:12" ht="13.5" customHeight="1" x14ac:dyDescent="0.3">
      <c r="A42" s="2"/>
      <c r="B42" s="22"/>
      <c r="C42" s="23" t="s">
        <v>13</v>
      </c>
      <c r="D42" s="23"/>
      <c r="E42" s="23"/>
      <c r="F42" s="25"/>
      <c r="G42" s="45"/>
      <c r="H42" s="32"/>
      <c r="I42" s="24" t="s">
        <v>18</v>
      </c>
      <c r="J42" s="47" t="e">
        <f>J41*#REF!</f>
        <v>#REF!</v>
      </c>
      <c r="K42" s="51"/>
      <c r="L42" s="11"/>
    </row>
    <row r="43" spans="1:12" ht="15.75" customHeight="1" x14ac:dyDescent="0.3">
      <c r="A43" s="2"/>
      <c r="B43" s="22"/>
      <c r="C43" s="23" t="s">
        <v>0</v>
      </c>
      <c r="D43" s="23"/>
      <c r="E43" s="23"/>
      <c r="F43" s="25"/>
      <c r="G43" s="33"/>
      <c r="H43" s="32"/>
      <c r="I43" s="24" t="s">
        <v>18</v>
      </c>
      <c r="J43" s="12" t="s">
        <v>8</v>
      </c>
      <c r="K43" s="11"/>
      <c r="L43" s="11"/>
    </row>
    <row r="44" spans="1:12" ht="15.75" customHeight="1" x14ac:dyDescent="0.3">
      <c r="A44" s="2"/>
      <c r="B44" s="22"/>
      <c r="C44" s="23" t="s">
        <v>17</v>
      </c>
      <c r="D44" s="23"/>
      <c r="E44" s="23"/>
      <c r="F44" s="25"/>
      <c r="G44" s="17"/>
      <c r="H44" s="29"/>
      <c r="I44" s="24" t="s">
        <v>19</v>
      </c>
      <c r="J44" s="17" t="e">
        <f>CONCATENATE(#REF!, "ddl")</f>
        <v>#REF!</v>
      </c>
      <c r="K44" s="11"/>
      <c r="L44" s="11"/>
    </row>
    <row r="45" spans="1:12" ht="15.75" customHeight="1" x14ac:dyDescent="0.3">
      <c r="A45" s="2"/>
      <c r="B45" s="22"/>
      <c r="C45" s="23" t="s">
        <v>16</v>
      </c>
      <c r="D45" s="23"/>
      <c r="E45" s="23"/>
      <c r="F45" s="25"/>
      <c r="G45" s="12"/>
      <c r="H45" s="12"/>
      <c r="I45" s="24" t="s">
        <v>21</v>
      </c>
      <c r="J45" s="12" t="e">
        <f>#REF!</f>
        <v>#REF!</v>
      </c>
      <c r="K45" s="11"/>
      <c r="L45" s="11"/>
    </row>
    <row r="46" spans="1:12" ht="15.75" customHeight="1" x14ac:dyDescent="0.3">
      <c r="A46" s="2"/>
      <c r="B46" s="22"/>
      <c r="C46" s="23" t="s">
        <v>15</v>
      </c>
      <c r="D46" s="23"/>
      <c r="E46" s="23"/>
      <c r="F46" s="25"/>
      <c r="G46" s="12"/>
      <c r="H46" s="12"/>
      <c r="I46" s="24" t="s">
        <v>20</v>
      </c>
      <c r="J46" s="12" t="e">
        <f>IF(#REF!&lt;&gt;"","APL","Cliente")</f>
        <v>#REF!</v>
      </c>
      <c r="K46" s="11"/>
      <c r="L46" s="11"/>
    </row>
    <row r="47" spans="1:12" ht="15.75" customHeight="1" x14ac:dyDescent="0.3">
      <c r="A47" s="2"/>
      <c r="B47" s="22"/>
      <c r="C47" s="23" t="s">
        <v>14</v>
      </c>
      <c r="D47" s="23"/>
      <c r="E47" s="23"/>
      <c r="F47" s="25"/>
      <c r="G47" s="12"/>
      <c r="H47" s="12"/>
      <c r="I47" s="24" t="s">
        <v>22</v>
      </c>
      <c r="J47" s="12" t="s">
        <v>26</v>
      </c>
      <c r="K47" s="11"/>
      <c r="L47" s="11"/>
    </row>
    <row r="48" spans="1:12" ht="15.6" x14ac:dyDescent="0.3">
      <c r="A48" s="2"/>
      <c r="B48" s="11"/>
      <c r="C48" s="19" t="s">
        <v>4</v>
      </c>
      <c r="D48" s="11"/>
      <c r="E48" s="11"/>
      <c r="F48" s="11"/>
      <c r="G48" s="11"/>
      <c r="H48" s="11"/>
      <c r="I48" s="11"/>
      <c r="J48" s="11"/>
      <c r="K48" s="11"/>
      <c r="L48" s="11"/>
    </row>
    <row r="49" spans="1:14" ht="15.6" x14ac:dyDescent="0.3">
      <c r="A49" s="2"/>
      <c r="B49" s="11"/>
      <c r="C49" s="12"/>
      <c r="D49" s="12"/>
      <c r="E49" s="12"/>
      <c r="F49" s="12"/>
      <c r="G49" s="12"/>
      <c r="H49" s="12"/>
      <c r="I49" s="12"/>
      <c r="J49" s="12"/>
      <c r="K49" s="11"/>
      <c r="L49" s="11"/>
    </row>
    <row r="50" spans="1:14" ht="15.6" x14ac:dyDescent="0.3">
      <c r="A50" s="2"/>
      <c r="B50" s="30"/>
      <c r="C50" s="50" t="e">
        <f>IF(C51&lt;&gt;"","Nota:","")</f>
        <v>#REF!</v>
      </c>
      <c r="D50" s="28"/>
      <c r="E50" s="28"/>
      <c r="F50" s="28"/>
      <c r="G50" s="28"/>
      <c r="H50" s="12"/>
      <c r="I50" s="12"/>
      <c r="J50" s="12"/>
      <c r="K50" s="11"/>
      <c r="L50" s="11"/>
    </row>
    <row r="51" spans="1:14" ht="15.6" x14ac:dyDescent="0.3">
      <c r="A51" s="2"/>
      <c r="B51" s="30"/>
      <c r="C51" s="49" t="e">
        <f>IF(#REF!="", "",#REF!)</f>
        <v>#REF!</v>
      </c>
      <c r="D51" s="28"/>
      <c r="E51" s="28"/>
      <c r="F51" s="28"/>
      <c r="G51" s="28"/>
      <c r="H51" s="12"/>
      <c r="I51" s="12"/>
      <c r="J51" s="12"/>
      <c r="K51" s="12"/>
      <c r="L51" s="11"/>
    </row>
    <row r="52" spans="1:14" ht="15.6" x14ac:dyDescent="0.3">
      <c r="A52" s="2"/>
      <c r="B52" s="30"/>
      <c r="C52" s="49" t="e">
        <f>IF(#REF!="", "",#REF!)</f>
        <v>#REF!</v>
      </c>
      <c r="D52" s="28"/>
      <c r="E52" s="28"/>
      <c r="F52" s="28"/>
      <c r="G52" s="28"/>
      <c r="H52" s="12"/>
      <c r="I52" s="12"/>
      <c r="J52" s="12"/>
      <c r="K52" s="11"/>
      <c r="L52" s="11"/>
    </row>
    <row r="53" spans="1:14" ht="15.6" x14ac:dyDescent="0.3">
      <c r="A53" s="2"/>
      <c r="B53" s="30"/>
      <c r="C53" s="49" t="e">
        <f>IF(#REF!="", "",#REF!)</f>
        <v>#REF!</v>
      </c>
      <c r="D53" s="28"/>
      <c r="E53" s="28"/>
      <c r="F53" s="28"/>
      <c r="G53" s="28"/>
      <c r="H53" s="12"/>
      <c r="I53" s="12"/>
      <c r="J53" s="12"/>
      <c r="K53" s="11"/>
      <c r="L53" s="11"/>
    </row>
    <row r="54" spans="1:14" ht="15.6" x14ac:dyDescent="0.3">
      <c r="A54" s="2"/>
      <c r="B54" s="30"/>
      <c r="C54" s="49" t="e">
        <f>IF(#REF!="", "",#REF!)</f>
        <v>#REF!</v>
      </c>
      <c r="D54" s="28"/>
      <c r="E54" s="28"/>
      <c r="F54" s="28"/>
      <c r="G54" s="28"/>
      <c r="H54" s="12"/>
      <c r="I54" s="12"/>
      <c r="J54" s="12"/>
      <c r="K54" s="11"/>
      <c r="L54" s="11"/>
    </row>
    <row r="55" spans="1:14" ht="15.6" x14ac:dyDescent="0.3">
      <c r="A55" s="2"/>
      <c r="B55" s="28"/>
      <c r="C55" s="49" t="e">
        <f>IF(#REF!="", "",#REF!)</f>
        <v>#REF!</v>
      </c>
      <c r="D55" s="28"/>
      <c r="E55" s="28"/>
      <c r="F55" s="34"/>
      <c r="G55" s="28"/>
      <c r="H55" s="12"/>
      <c r="I55" s="12"/>
      <c r="J55" s="12"/>
      <c r="K55" s="11"/>
      <c r="L55" s="11"/>
    </row>
    <row r="56" spans="1:14" ht="15.6" x14ac:dyDescent="0.3">
      <c r="A56" s="2"/>
      <c r="B56" s="30"/>
      <c r="C56" s="30"/>
      <c r="D56" s="30"/>
      <c r="E56" s="30"/>
      <c r="F56" s="30"/>
      <c r="G56" s="30"/>
      <c r="H56" s="11"/>
      <c r="I56" s="11"/>
      <c r="J56" s="11"/>
      <c r="K56" s="11"/>
      <c r="L56" s="11"/>
    </row>
    <row r="57" spans="1:14" ht="15.6" x14ac:dyDescent="0.3">
      <c r="A57" s="2"/>
      <c r="B57" s="11"/>
      <c r="C57" s="11" t="s">
        <v>24</v>
      </c>
      <c r="D57" s="11"/>
      <c r="E57" s="11"/>
      <c r="F57" s="11"/>
      <c r="G57" s="11"/>
      <c r="H57" s="11"/>
      <c r="I57" s="11" t="e">
        <f>IF(#REF!=10,"Waldemir G. Toledo",IF(#REF!=20,"Eng. Adriano Quelhas dos Santos",IF(#REF!=30,"Eng. Amaury Vasques","")))</f>
        <v>#REF!</v>
      </c>
      <c r="J57" s="11"/>
      <c r="K57" s="11"/>
      <c r="L57" s="11"/>
    </row>
    <row r="58" spans="1:14" ht="15.6" x14ac:dyDescent="0.3">
      <c r="A58" s="2"/>
      <c r="B58" s="11"/>
      <c r="C58" s="11" t="s">
        <v>11</v>
      </c>
      <c r="D58" s="11"/>
      <c r="E58" s="11"/>
      <c r="F58" s="11"/>
      <c r="G58" s="11"/>
      <c r="H58" s="11"/>
      <c r="I58" s="11" t="e">
        <f>IF(I57&lt;&gt;"","Representate Comercial","")</f>
        <v>#REF!</v>
      </c>
      <c r="J58" s="11"/>
      <c r="K58" s="11"/>
      <c r="L58" s="11"/>
    </row>
    <row r="59" spans="1:14" ht="15.6" x14ac:dyDescent="0.3">
      <c r="A59" s="2"/>
      <c r="B59" s="11"/>
      <c r="C59" s="11" t="s">
        <v>25</v>
      </c>
      <c r="D59" s="11"/>
      <c r="E59" s="11"/>
      <c r="F59" s="11"/>
      <c r="G59" s="11"/>
      <c r="H59" s="11"/>
      <c r="I59" s="9" t="e">
        <f>IF(#REF!=10,"Cel.: 9.9127-9590 / 9.9457-5785",IF(#REF!=20,"Cel.: 11-9.9706-1634",IF(#REF!=30,"Cel.: 12-9.9120-8028","")))</f>
        <v>#REF!</v>
      </c>
      <c r="J59" s="11"/>
      <c r="K59" s="11"/>
      <c r="L59" s="11"/>
    </row>
    <row r="60" spans="1:14" ht="15.6" x14ac:dyDescent="0.3">
      <c r="A60" s="2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4" ht="15.6" x14ac:dyDescent="0.3">
      <c r="A61" s="2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4" ht="15.6" x14ac:dyDescent="0.3">
      <c r="A62" s="2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N62" s="2"/>
    </row>
    <row r="63" spans="1:14" ht="15.6" x14ac:dyDescent="0.3">
      <c r="A63" s="2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</row>
    <row r="64" spans="1:14" ht="15.6" x14ac:dyDescent="0.3">
      <c r="A64" s="2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</row>
  </sheetData>
  <sheetProtection insertRows="0" deleteRows="0" selectLockedCells="1"/>
  <mergeCells count="2">
    <mergeCell ref="D9:J9"/>
    <mergeCell ref="J12:L12"/>
  </mergeCells>
  <printOptions horizontalCentered="1"/>
  <pageMargins left="0" right="0" top="0" bottom="0" header="0" footer="0"/>
  <pageSetup paperSize="9" scale="88" orientation="portrait" r:id="rId1"/>
  <headerFooter alignWithMargins="0">
    <oddHeader>&amp;L&amp;G &amp;[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locked="0" defaultSize="0" autoFill="0" autoLine="0" autoPict="0">
                <anchor moveWithCells="1">
                  <from>
                    <xdr:col>2</xdr:col>
                    <xdr:colOff>198120</xdr:colOff>
                    <xdr:row>26</xdr:row>
                    <xdr:rowOff>76200</xdr:rowOff>
                  </from>
                  <to>
                    <xdr:col>4</xdr:col>
                    <xdr:colOff>114300</xdr:colOff>
                    <xdr:row>27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Check Box 2">
              <controlPr locked="0" defaultSize="0" autoFill="0" autoLine="0" autoPict="0">
                <anchor>
                  <from>
                    <xdr:col>2</xdr:col>
                    <xdr:colOff>198120</xdr:colOff>
                    <xdr:row>27</xdr:row>
                    <xdr:rowOff>121920</xdr:rowOff>
                  </from>
                  <to>
                    <xdr:col>4</xdr:col>
                    <xdr:colOff>365760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Check Box 3">
              <controlPr defaultSize="0" autoFill="0" autoLine="0" autoPict="0">
                <anchor moveWithCells="1">
                  <from>
                    <xdr:col>2</xdr:col>
                    <xdr:colOff>198120</xdr:colOff>
                    <xdr:row>28</xdr:row>
                    <xdr:rowOff>121920</xdr:rowOff>
                  </from>
                  <to>
                    <xdr:col>4</xdr:col>
                    <xdr:colOff>487680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Check Box 4">
              <controlPr defaultSize="0" autoFill="0" autoLine="0" autoPict="0">
                <anchor moveWithCells="1">
                  <from>
                    <xdr:col>6</xdr:col>
                    <xdr:colOff>0</xdr:colOff>
                    <xdr:row>26</xdr:row>
                    <xdr:rowOff>106680</xdr:rowOff>
                  </from>
                  <to>
                    <xdr:col>7</xdr:col>
                    <xdr:colOff>182880</xdr:colOff>
                    <xdr:row>27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Check Box 5">
              <controlPr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114300</xdr:rowOff>
                  </from>
                  <to>
                    <xdr:col>7</xdr:col>
                    <xdr:colOff>502920</xdr:colOff>
                    <xdr:row>28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Check Box 6">
              <controlPr defaultSize="0" autoFill="0" autoLine="0" autoPict="0">
                <anchor moveWithCells="1">
                  <from>
                    <xdr:col>6</xdr:col>
                    <xdr:colOff>0</xdr:colOff>
                    <xdr:row>28</xdr:row>
                    <xdr:rowOff>137160</xdr:rowOff>
                  </from>
                  <to>
                    <xdr:col>7</xdr:col>
                    <xdr:colOff>144780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Check Box 7">
              <controlPr defaultSize="0" autoFill="0" autoLine="0" autoPict="0">
                <anchor moveWithCells="1">
                  <from>
                    <xdr:col>8</xdr:col>
                    <xdr:colOff>685800</xdr:colOff>
                    <xdr:row>28</xdr:row>
                    <xdr:rowOff>137160</xdr:rowOff>
                  </from>
                  <to>
                    <xdr:col>10</xdr:col>
                    <xdr:colOff>335280</xdr:colOff>
                    <xdr:row>29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Check Box 8">
              <controlPr defaultSize="0" autoFill="0" autoLine="0" autoPict="0">
                <anchor moveWithCells="1">
                  <from>
                    <xdr:col>8</xdr:col>
                    <xdr:colOff>685800</xdr:colOff>
                    <xdr:row>27</xdr:row>
                    <xdr:rowOff>121920</xdr:rowOff>
                  </from>
                  <to>
                    <xdr:col>10</xdr:col>
                    <xdr:colOff>30480</xdr:colOff>
                    <xdr:row>28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Check Box 9">
              <controlPr defaultSize="0" autoFill="0" autoLine="0" autoPict="0">
                <anchor moveWithCells="1">
                  <from>
                    <xdr:col>8</xdr:col>
                    <xdr:colOff>685800</xdr:colOff>
                    <xdr:row>26</xdr:row>
                    <xdr:rowOff>114300</xdr:rowOff>
                  </from>
                  <to>
                    <xdr:col>9</xdr:col>
                    <xdr:colOff>922020</xdr:colOff>
                    <xdr:row>27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Orc</vt:lpstr>
      <vt:lpstr>Orç. (2)</vt:lpstr>
      <vt:lpstr>Orc!Area_de_impressao</vt:lpstr>
      <vt:lpstr>'Orç. (2)'!Area_de_impressao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APL</dc:creator>
  <cp:lastModifiedBy>Novo</cp:lastModifiedBy>
  <cp:lastPrinted>2020-02-25T21:39:37Z</cp:lastPrinted>
  <dcterms:created xsi:type="dcterms:W3CDTF">2007-11-24T14:23:01Z</dcterms:created>
  <dcterms:modified xsi:type="dcterms:W3CDTF">2020-11-27T03:36:13Z</dcterms:modified>
</cp:coreProperties>
</file>